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3. CODE\Excel Practice\Big folder\Data automation\Soruce file\"/>
    </mc:Choice>
  </mc:AlternateContent>
  <xr:revisionPtr revIDLastSave="0" documentId="13_ncr:1_{7AB37C7A-CFA0-490C-B352-1605EDC053BD}" xr6:coauthVersionLast="47" xr6:coauthVersionMax="47" xr10:uidLastSave="{00000000-0000-0000-0000-000000000000}"/>
  <bookViews>
    <workbookView xWindow="-110" yWindow="-110" windowWidth="19420" windowHeight="10300" activeTab="4" xr2:uid="{00000000-000D-0000-FFFF-FFFF00000000}"/>
  </bookViews>
  <sheets>
    <sheet name="Violation Log" sheetId="9" r:id="rId1"/>
    <sheet name="Shift Details" sheetId="2" r:id="rId2"/>
    <sheet name="ERV Log " sheetId="3" r:id="rId3"/>
    <sheet name="Log Data " sheetId="4" r:id="rId4"/>
    <sheet name="Vehicles List new" sheetId="10" r:id="rId5"/>
    <sheet name="Vehicle List" sheetId="5" r:id="rId6"/>
    <sheet name="Nearmiss" sheetId="6" r:id="rId7"/>
    <sheet name="EMERGENCY NO " sheetId="7" r:id="rId8"/>
    <sheet name="TG Contact" sheetId="8" r:id="rId9"/>
  </sheets>
  <definedNames>
    <definedName name="_xlnm._FilterDatabase" localSheetId="6" hidden="1">Nearmiss!$A$1:$I$107</definedName>
    <definedName name="_xlnm._FilterDatabase" localSheetId="1" hidden="1">'Shift Details'!$A$1:$K$1</definedName>
    <definedName name="_xlnm._FilterDatabase" localSheetId="5" hidden="1">'Vehicle List'!$A$1:$D$445</definedName>
    <definedName name="_xlnm._FilterDatabase" localSheetId="4" hidden="1">'Vehicles List new'!$A$1:$D$454</definedName>
    <definedName name="_xlnm._FilterDatabase" localSheetId="0" hidden="1">'Violation Log'!$A$1:$P$542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2" i="9" l="1"/>
  <c r="F542" i="9"/>
  <c r="J541" i="9"/>
  <c r="J540" i="9"/>
  <c r="J539" i="9"/>
  <c r="J538" i="9"/>
  <c r="J537" i="9"/>
  <c r="J536" i="9"/>
  <c r="J535" i="9"/>
  <c r="J534" i="9"/>
  <c r="J533" i="9"/>
  <c r="J532" i="9"/>
  <c r="J531" i="9"/>
  <c r="J529" i="9"/>
  <c r="F529" i="9"/>
  <c r="F531" i="9"/>
  <c r="F532" i="9"/>
  <c r="F533" i="9"/>
  <c r="F534" i="9"/>
  <c r="F535" i="9"/>
  <c r="F536" i="9"/>
  <c r="F537" i="9"/>
  <c r="F538" i="9"/>
  <c r="F539" i="9"/>
  <c r="F540" i="9"/>
  <c r="F541" i="9"/>
  <c r="J528" i="9" l="1"/>
  <c r="F528" i="9"/>
  <c r="F527" i="9" l="1"/>
  <c r="J527" i="9"/>
  <c r="F526" i="9"/>
  <c r="J526" i="9"/>
  <c r="J522" i="9"/>
  <c r="J523" i="9"/>
  <c r="J524" i="9"/>
  <c r="J525" i="9"/>
  <c r="J521" i="9"/>
  <c r="F521" i="9"/>
  <c r="F522" i="9"/>
  <c r="F523" i="9"/>
  <c r="F524" i="9"/>
  <c r="F525" i="9"/>
  <c r="J509" i="9"/>
  <c r="J510" i="9"/>
  <c r="J511" i="9"/>
  <c r="J512" i="9"/>
  <c r="J513" i="9"/>
  <c r="J514" i="9"/>
  <c r="J515" i="9"/>
  <c r="J516" i="9"/>
  <c r="J517" i="9"/>
  <c r="J518" i="9"/>
  <c r="J519" i="9"/>
  <c r="J520" i="9"/>
  <c r="F509" i="9"/>
  <c r="F510" i="9"/>
  <c r="F511" i="9"/>
  <c r="F512" i="9"/>
  <c r="F513" i="9"/>
  <c r="F514" i="9"/>
  <c r="F515" i="9"/>
  <c r="F516" i="9"/>
  <c r="F517" i="9"/>
  <c r="F518" i="9"/>
  <c r="F519" i="9"/>
  <c r="F520" i="9"/>
  <c r="J501" i="9"/>
  <c r="J502" i="9"/>
  <c r="J503" i="9"/>
  <c r="J504" i="9"/>
  <c r="J505" i="9"/>
  <c r="J506" i="9"/>
  <c r="J507" i="9"/>
  <c r="J508" i="9"/>
  <c r="J500" i="9"/>
  <c r="F500" i="9"/>
  <c r="F501" i="9"/>
  <c r="F502" i="9"/>
  <c r="F503" i="9"/>
  <c r="F504" i="9"/>
  <c r="F505" i="9"/>
  <c r="F506" i="9"/>
  <c r="F507" i="9"/>
  <c r="F508" i="9"/>
  <c r="J499" i="9" l="1"/>
  <c r="F499" i="9"/>
  <c r="J492" i="9" l="1"/>
  <c r="J493" i="9"/>
  <c r="J494" i="9"/>
  <c r="J495" i="9"/>
  <c r="J496" i="9"/>
  <c r="J497" i="9"/>
  <c r="J498" i="9"/>
  <c r="F492" i="9"/>
  <c r="F493" i="9"/>
  <c r="F494" i="9"/>
  <c r="F495" i="9"/>
  <c r="F496" i="9"/>
  <c r="F497" i="9"/>
  <c r="F498" i="9"/>
  <c r="F489" i="9"/>
  <c r="J489" i="9"/>
  <c r="F490" i="9"/>
  <c r="J490" i="9"/>
  <c r="F491" i="9"/>
  <c r="J491" i="9"/>
  <c r="J478" i="9"/>
  <c r="J479" i="9"/>
  <c r="J480" i="9"/>
  <c r="J482" i="9"/>
  <c r="J483" i="9"/>
  <c r="J484" i="9"/>
  <c r="J485" i="9"/>
  <c r="J486" i="9"/>
  <c r="J487" i="9"/>
  <c r="J488" i="9"/>
  <c r="F478" i="9"/>
  <c r="F479" i="9"/>
  <c r="F480" i="9"/>
  <c r="F482" i="9"/>
  <c r="F483" i="9"/>
  <c r="F484" i="9"/>
  <c r="F485" i="9"/>
  <c r="F486" i="9"/>
  <c r="F487" i="9"/>
  <c r="F488" i="9"/>
  <c r="J472" i="9" l="1"/>
  <c r="J473" i="9"/>
  <c r="J474" i="9"/>
  <c r="J475" i="9"/>
  <c r="J476" i="9"/>
  <c r="J477" i="9"/>
  <c r="F472" i="9"/>
  <c r="F473" i="9"/>
  <c r="F474" i="9"/>
  <c r="F475" i="9"/>
  <c r="F476" i="9"/>
  <c r="F477" i="9"/>
  <c r="J465" i="9" l="1"/>
  <c r="J466" i="9"/>
  <c r="J467" i="9"/>
  <c r="J468" i="9"/>
  <c r="J469" i="9"/>
  <c r="J470" i="9"/>
  <c r="J471" i="9"/>
  <c r="F465" i="9"/>
  <c r="F466" i="9"/>
  <c r="F467" i="9"/>
  <c r="F468" i="9"/>
  <c r="F469" i="9"/>
  <c r="F470" i="9"/>
  <c r="F471" i="9"/>
  <c r="F451" i="9"/>
  <c r="J451" i="9"/>
  <c r="F452" i="9"/>
  <c r="J452" i="9"/>
  <c r="F453" i="9"/>
  <c r="J453" i="9"/>
  <c r="F454" i="9"/>
  <c r="J454" i="9"/>
  <c r="F455" i="9"/>
  <c r="J455" i="9"/>
  <c r="F456" i="9"/>
  <c r="J456" i="9"/>
  <c r="F457" i="9"/>
  <c r="J457" i="9"/>
  <c r="F458" i="9"/>
  <c r="J458" i="9"/>
  <c r="F459" i="9"/>
  <c r="J459" i="9"/>
  <c r="F460" i="9"/>
  <c r="J460" i="9"/>
  <c r="F461" i="9"/>
  <c r="J461" i="9"/>
  <c r="F462" i="9"/>
  <c r="J462" i="9"/>
  <c r="F463" i="9"/>
  <c r="F464" i="9"/>
  <c r="J464" i="9"/>
  <c r="J450" i="9" l="1"/>
  <c r="F450" i="9"/>
  <c r="J449" i="9" l="1"/>
  <c r="F449" i="9"/>
  <c r="J448" i="9"/>
  <c r="F448" i="9"/>
  <c r="F431" i="9" l="1"/>
  <c r="F432" i="9"/>
  <c r="F433" i="9"/>
  <c r="F434" i="9"/>
  <c r="F435" i="9"/>
  <c r="F436" i="9"/>
  <c r="F437" i="9"/>
  <c r="F438" i="9"/>
  <c r="F439" i="9"/>
  <c r="F440" i="9"/>
  <c r="F441" i="9"/>
  <c r="F442" i="9"/>
  <c r="F443" i="9"/>
  <c r="F444" i="9"/>
  <c r="F445" i="9"/>
  <c r="F446" i="9"/>
  <c r="F447" i="9"/>
  <c r="J431" i="9"/>
  <c r="J432" i="9"/>
  <c r="J433" i="9"/>
  <c r="J434" i="9"/>
  <c r="J435" i="9"/>
  <c r="J436" i="9"/>
  <c r="J437" i="9"/>
  <c r="J438" i="9"/>
  <c r="J439" i="9"/>
  <c r="J440" i="9"/>
  <c r="J441" i="9"/>
  <c r="J442" i="9"/>
  <c r="J443" i="9"/>
  <c r="J444" i="9"/>
  <c r="J445" i="9"/>
  <c r="J446" i="9"/>
  <c r="J447" i="9"/>
  <c r="F425" i="9" l="1"/>
  <c r="J429" i="9"/>
  <c r="J430" i="9"/>
  <c r="F429" i="9"/>
  <c r="F430" i="9"/>
  <c r="J417" i="9"/>
  <c r="J418" i="9"/>
  <c r="J419" i="9"/>
  <c r="J420" i="9"/>
  <c r="J421" i="9"/>
  <c r="J422" i="9"/>
  <c r="J423" i="9"/>
  <c r="J424" i="9"/>
  <c r="J426" i="9"/>
  <c r="J427" i="9"/>
  <c r="F417" i="9"/>
  <c r="F418" i="9"/>
  <c r="F419" i="9"/>
  <c r="F420" i="9"/>
  <c r="F421" i="9"/>
  <c r="F422" i="9"/>
  <c r="F423" i="9"/>
  <c r="F424" i="9"/>
  <c r="F426" i="9"/>
  <c r="F427" i="9"/>
  <c r="J416" i="9" l="1"/>
  <c r="F416" i="9"/>
  <c r="J412" i="9" l="1"/>
  <c r="J405" i="9"/>
  <c r="J406" i="9"/>
  <c r="J407" i="9"/>
  <c r="J408" i="9"/>
  <c r="J409" i="9"/>
  <c r="J410" i="9"/>
  <c r="J411" i="9"/>
  <c r="J413" i="9"/>
  <c r="J414" i="9"/>
  <c r="J415" i="9"/>
  <c r="F405" i="9"/>
  <c r="F406" i="9"/>
  <c r="F407" i="9"/>
  <c r="F408" i="9"/>
  <c r="F409" i="9"/>
  <c r="F410" i="9"/>
  <c r="F411" i="9"/>
  <c r="F412" i="9"/>
  <c r="F413" i="9"/>
  <c r="F414" i="9"/>
  <c r="F415" i="9"/>
  <c r="J404" i="9" l="1"/>
  <c r="F404" i="9"/>
  <c r="J403" i="9" l="1"/>
  <c r="F403" i="9"/>
  <c r="J402" i="9" l="1"/>
  <c r="J401" i="9"/>
  <c r="J400" i="9"/>
  <c r="J399" i="9"/>
  <c r="J398" i="9"/>
  <c r="J397" i="9"/>
  <c r="J396" i="9"/>
  <c r="J395" i="9"/>
  <c r="J394" i="9"/>
  <c r="J393" i="9"/>
  <c r="J392" i="9"/>
  <c r="F392" i="9"/>
  <c r="F393" i="9"/>
  <c r="F394" i="9"/>
  <c r="F395" i="9"/>
  <c r="F396" i="9"/>
  <c r="F397" i="9"/>
  <c r="F398" i="9"/>
  <c r="F399" i="9"/>
  <c r="F400" i="9"/>
  <c r="F401" i="9"/>
  <c r="F402" i="9"/>
  <c r="J383" i="9" l="1"/>
  <c r="J384" i="9"/>
  <c r="J385" i="9"/>
  <c r="J386" i="9"/>
  <c r="J387" i="9"/>
  <c r="J388" i="9"/>
  <c r="J389" i="9"/>
  <c r="J390" i="9"/>
  <c r="J391" i="9"/>
  <c r="F383" i="9"/>
  <c r="F384" i="9"/>
  <c r="F385" i="9"/>
  <c r="F386" i="9"/>
  <c r="F387" i="9"/>
  <c r="F388" i="9"/>
  <c r="F389" i="9"/>
  <c r="F390" i="9"/>
  <c r="F391" i="9"/>
  <c r="J382" i="9" l="1"/>
  <c r="F382" i="9"/>
  <c r="J374" i="9" l="1"/>
  <c r="J375" i="9"/>
  <c r="J376" i="9"/>
  <c r="J377" i="9"/>
  <c r="J378" i="9"/>
  <c r="J379" i="9"/>
  <c r="J380" i="9"/>
  <c r="J381" i="9"/>
  <c r="J373" i="9"/>
  <c r="F373" i="9"/>
  <c r="F374" i="9"/>
  <c r="F375" i="9"/>
  <c r="F376" i="9"/>
  <c r="F377" i="9"/>
  <c r="F378" i="9"/>
  <c r="F379" i="9"/>
  <c r="F380" i="9"/>
  <c r="F381" i="9"/>
  <c r="J372" i="9"/>
  <c r="F372" i="9"/>
  <c r="J356" i="9" l="1"/>
  <c r="J357" i="9"/>
  <c r="J358" i="9"/>
  <c r="J359" i="9"/>
  <c r="J360" i="9"/>
  <c r="J361" i="9"/>
  <c r="J362" i="9"/>
  <c r="J363" i="9"/>
  <c r="J364" i="9"/>
  <c r="J365" i="9"/>
  <c r="J366" i="9"/>
  <c r="J367" i="9"/>
  <c r="J368" i="9"/>
  <c r="J369" i="9"/>
  <c r="J370" i="9"/>
  <c r="J371" i="9"/>
  <c r="F356" i="9"/>
  <c r="F357" i="9"/>
  <c r="F358" i="9"/>
  <c r="F359" i="9"/>
  <c r="F360" i="9"/>
  <c r="F361" i="9"/>
  <c r="F362" i="9"/>
  <c r="F363" i="9"/>
  <c r="F364" i="9"/>
  <c r="F365" i="9"/>
  <c r="F366" i="9"/>
  <c r="F367" i="9"/>
  <c r="F368" i="9"/>
  <c r="F369" i="9"/>
  <c r="F370" i="9"/>
  <c r="F371" i="9"/>
  <c r="J355" i="9"/>
  <c r="F355" i="9"/>
  <c r="J352" i="9" l="1"/>
  <c r="J353" i="9"/>
  <c r="J354" i="9"/>
  <c r="J351" i="9"/>
  <c r="F351" i="9"/>
  <c r="F352" i="9"/>
  <c r="F353" i="9"/>
  <c r="F354" i="9"/>
  <c r="J347" i="9" l="1"/>
  <c r="J350" i="9"/>
  <c r="J349" i="9"/>
  <c r="J348" i="9"/>
  <c r="F347" i="9"/>
  <c r="F348" i="9"/>
  <c r="F349" i="9"/>
  <c r="F350" i="9"/>
  <c r="J346" i="9"/>
  <c r="F346" i="9"/>
  <c r="J338" i="9" l="1"/>
  <c r="J339" i="9"/>
  <c r="J340" i="9"/>
  <c r="J341" i="9"/>
  <c r="J342" i="9"/>
  <c r="J343" i="9"/>
  <c r="J344" i="9"/>
  <c r="J345" i="9"/>
  <c r="F338" i="9"/>
  <c r="F339" i="9"/>
  <c r="F340" i="9"/>
  <c r="F341" i="9"/>
  <c r="F342" i="9"/>
  <c r="F343" i="9"/>
  <c r="F344" i="9"/>
  <c r="F345" i="9"/>
  <c r="J337" i="9" l="1"/>
  <c r="F337" i="9"/>
  <c r="J325" i="9"/>
  <c r="J326" i="9"/>
  <c r="J327" i="9"/>
  <c r="J328" i="9"/>
  <c r="J329" i="9"/>
  <c r="J330" i="9"/>
  <c r="J331" i="9"/>
  <c r="J332" i="9"/>
  <c r="J333" i="9"/>
  <c r="J334" i="9"/>
  <c r="J335" i="9"/>
  <c r="J336" i="9"/>
  <c r="F325" i="9"/>
  <c r="F326" i="9"/>
  <c r="F327" i="9"/>
  <c r="F328" i="9"/>
  <c r="F329" i="9"/>
  <c r="F330" i="9"/>
  <c r="F331" i="9"/>
  <c r="F332" i="9"/>
  <c r="F333" i="9"/>
  <c r="F334" i="9"/>
  <c r="F335" i="9"/>
  <c r="F336" i="9"/>
  <c r="J324" i="9"/>
  <c r="J323" i="9"/>
  <c r="J322" i="9"/>
  <c r="F322" i="9"/>
  <c r="F323" i="9"/>
  <c r="F324" i="9"/>
  <c r="J314" i="9"/>
  <c r="J315" i="9"/>
  <c r="J316" i="9"/>
  <c r="J317" i="9"/>
  <c r="J318" i="9"/>
  <c r="J319" i="9"/>
  <c r="J320" i="9"/>
  <c r="J321" i="9"/>
  <c r="J313" i="9"/>
  <c r="F313" i="9"/>
  <c r="F314" i="9"/>
  <c r="F315" i="9"/>
  <c r="F316" i="9"/>
  <c r="F317" i="9"/>
  <c r="F318" i="9"/>
  <c r="F319" i="9"/>
  <c r="F320" i="9"/>
  <c r="F321" i="9"/>
  <c r="J312" i="9" l="1"/>
  <c r="F312" i="9"/>
  <c r="F311" i="9"/>
  <c r="J311" i="9"/>
  <c r="J310" i="9"/>
  <c r="F310" i="9"/>
  <c r="J309" i="9"/>
  <c r="F309" i="9"/>
  <c r="F308" i="9" l="1"/>
  <c r="J308" i="9"/>
  <c r="J307" i="9"/>
  <c r="F307" i="9"/>
  <c r="J306" i="9"/>
  <c r="F306" i="9"/>
  <c r="J305" i="9" l="1"/>
  <c r="J296" i="9"/>
  <c r="J297" i="9"/>
  <c r="J298" i="9"/>
  <c r="J299" i="9"/>
  <c r="J300" i="9"/>
  <c r="J301" i="9"/>
  <c r="J302" i="9"/>
  <c r="J303" i="9"/>
  <c r="J304" i="9"/>
  <c r="F296" i="9"/>
  <c r="F297" i="9"/>
  <c r="F298" i="9"/>
  <c r="F299" i="9"/>
  <c r="F300" i="9"/>
  <c r="F301" i="9"/>
  <c r="F302" i="9"/>
  <c r="F303" i="9"/>
  <c r="F304" i="9"/>
  <c r="F305" i="9"/>
  <c r="J295" i="9" l="1"/>
  <c r="F295" i="9"/>
  <c r="J282" i="9"/>
  <c r="J283" i="9"/>
  <c r="J284" i="9"/>
  <c r="J285" i="9"/>
  <c r="J286" i="9"/>
  <c r="J287" i="9"/>
  <c r="J288" i="9"/>
  <c r="J289" i="9"/>
  <c r="J290" i="9"/>
  <c r="J291" i="9"/>
  <c r="J292" i="9"/>
  <c r="J293" i="9"/>
  <c r="J294" i="9"/>
  <c r="F282" i="9"/>
  <c r="F283" i="9"/>
  <c r="F284" i="9"/>
  <c r="F285" i="9"/>
  <c r="F286" i="9"/>
  <c r="F287" i="9"/>
  <c r="F288" i="9"/>
  <c r="F289" i="9"/>
  <c r="F290" i="9"/>
  <c r="F291" i="9"/>
  <c r="F292" i="9"/>
  <c r="F293" i="9"/>
  <c r="F294" i="9"/>
  <c r="J276" i="9"/>
  <c r="J277" i="9"/>
  <c r="J278" i="9"/>
  <c r="J279" i="9"/>
  <c r="J280" i="9"/>
  <c r="J281" i="9"/>
  <c r="F276" i="9"/>
  <c r="F277" i="9"/>
  <c r="F278" i="9"/>
  <c r="F279" i="9"/>
  <c r="F280" i="9"/>
  <c r="F281" i="9"/>
  <c r="J268" i="9" l="1"/>
  <c r="J269" i="9"/>
  <c r="J270" i="9"/>
  <c r="J271" i="9"/>
  <c r="J272" i="9"/>
  <c r="J273" i="9"/>
  <c r="J274" i="9"/>
  <c r="J275" i="9"/>
  <c r="F268" i="9"/>
  <c r="F269" i="9"/>
  <c r="F270" i="9"/>
  <c r="F271" i="9"/>
  <c r="F272" i="9"/>
  <c r="F273" i="9"/>
  <c r="F274" i="9"/>
  <c r="F275" i="9"/>
  <c r="J267" i="9"/>
  <c r="F267" i="9"/>
  <c r="J266" i="9" l="1"/>
  <c r="J265" i="9"/>
  <c r="J264" i="9"/>
  <c r="J263" i="9"/>
  <c r="J262" i="9"/>
  <c r="J261" i="9"/>
  <c r="J260" i="9"/>
  <c r="J259" i="9"/>
  <c r="J258" i="9"/>
  <c r="J257" i="9"/>
  <c r="J256" i="9"/>
  <c r="J255" i="9"/>
  <c r="J254" i="9"/>
  <c r="J253" i="9"/>
  <c r="F253" i="9"/>
  <c r="F254" i="9"/>
  <c r="F255" i="9"/>
  <c r="F256" i="9"/>
  <c r="F257" i="9"/>
  <c r="F258" i="9"/>
  <c r="F259" i="9"/>
  <c r="F260" i="9"/>
  <c r="F261" i="9"/>
  <c r="F262" i="9"/>
  <c r="F263" i="9"/>
  <c r="F264" i="9"/>
  <c r="F265" i="9"/>
  <c r="F266" i="9"/>
  <c r="J248" i="9"/>
  <c r="J249" i="9"/>
  <c r="J250" i="9"/>
  <c r="J251" i="9"/>
  <c r="J252" i="9"/>
  <c r="J247" i="9"/>
  <c r="F247" i="9"/>
  <c r="F248" i="9"/>
  <c r="F249" i="9"/>
  <c r="F250" i="9"/>
  <c r="F251" i="9"/>
  <c r="F252" i="9"/>
  <c r="J237" i="9"/>
  <c r="J238" i="9"/>
  <c r="J239" i="9"/>
  <c r="J240" i="9"/>
  <c r="J241" i="9"/>
  <c r="J242" i="9"/>
  <c r="J243" i="9"/>
  <c r="J244" i="9"/>
  <c r="J245" i="9"/>
  <c r="J246" i="9"/>
  <c r="F237" i="9"/>
  <c r="F238" i="9"/>
  <c r="F239" i="9"/>
  <c r="F240" i="9"/>
  <c r="F241" i="9"/>
  <c r="F242" i="9"/>
  <c r="F243" i="9"/>
  <c r="F244" i="9"/>
  <c r="F245" i="9"/>
  <c r="F246" i="9"/>
  <c r="J236" i="9"/>
  <c r="F236" i="9"/>
  <c r="J229" i="9"/>
  <c r="J230" i="9"/>
  <c r="J231" i="9"/>
  <c r="J232" i="9"/>
  <c r="J233" i="9"/>
  <c r="J234" i="9"/>
  <c r="J235" i="9"/>
  <c r="J228" i="9"/>
  <c r="F228" i="9"/>
  <c r="F229" i="9"/>
  <c r="F230" i="9"/>
  <c r="F231" i="9"/>
  <c r="F232" i="9"/>
  <c r="F233" i="9"/>
  <c r="F234" i="9"/>
  <c r="F235" i="9"/>
  <c r="J220" i="9" l="1"/>
  <c r="J221" i="9"/>
  <c r="J222" i="9"/>
  <c r="J223" i="9"/>
  <c r="J224" i="9"/>
  <c r="J225" i="9"/>
  <c r="J226" i="9"/>
  <c r="J227" i="9"/>
  <c r="F220" i="9"/>
  <c r="F221" i="9"/>
  <c r="F222" i="9"/>
  <c r="F223" i="9"/>
  <c r="F224" i="9"/>
  <c r="F225" i="9"/>
  <c r="F226" i="9"/>
  <c r="F227" i="9"/>
  <c r="J214" i="9" l="1"/>
  <c r="J215" i="9"/>
  <c r="J216" i="9"/>
  <c r="J217" i="9"/>
  <c r="J218" i="9"/>
  <c r="J219" i="9"/>
  <c r="J213" i="9"/>
  <c r="F213" i="9"/>
  <c r="F214" i="9"/>
  <c r="F215" i="9"/>
  <c r="F216" i="9"/>
  <c r="F217" i="9"/>
  <c r="F218" i="9"/>
  <c r="F219" i="9"/>
  <c r="F212" i="9"/>
  <c r="J212" i="9"/>
  <c r="F210" i="9" l="1"/>
  <c r="F211" i="9"/>
  <c r="J210" i="9"/>
  <c r="J211" i="9"/>
  <c r="J209" i="9" l="1"/>
  <c r="F209" i="9"/>
  <c r="J207" i="9" l="1"/>
  <c r="J208" i="9"/>
  <c r="J206" i="9"/>
  <c r="J205" i="9"/>
  <c r="J204" i="9"/>
  <c r="J203" i="9"/>
  <c r="J202" i="9"/>
  <c r="J201" i="9"/>
  <c r="F201" i="9"/>
  <c r="F202" i="9"/>
  <c r="F203" i="9"/>
  <c r="F204" i="9"/>
  <c r="F205" i="9"/>
  <c r="F206" i="9"/>
  <c r="F207" i="9"/>
  <c r="F208" i="9"/>
  <c r="J200" i="9"/>
  <c r="F200" i="9"/>
  <c r="J199" i="9"/>
  <c r="F199" i="9"/>
  <c r="J198" i="9"/>
  <c r="F198" i="9"/>
  <c r="J197" i="9" l="1"/>
  <c r="F197" i="9"/>
  <c r="J187" i="9"/>
  <c r="J188" i="9"/>
  <c r="J189" i="9"/>
  <c r="J190" i="9"/>
  <c r="J191" i="9"/>
  <c r="J192" i="9"/>
  <c r="J193" i="9"/>
  <c r="J194" i="9"/>
  <c r="J195" i="9"/>
  <c r="J196" i="9"/>
  <c r="F187" i="9"/>
  <c r="F188" i="9"/>
  <c r="F189" i="9"/>
  <c r="F190" i="9"/>
  <c r="F191" i="9"/>
  <c r="F192" i="9"/>
  <c r="F193" i="9"/>
  <c r="F194" i="9"/>
  <c r="F195" i="9"/>
  <c r="F196" i="9"/>
  <c r="J179" i="9" l="1"/>
  <c r="J180" i="9"/>
  <c r="J181" i="9"/>
  <c r="J182" i="9"/>
  <c r="J183" i="9"/>
  <c r="J184" i="9"/>
  <c r="J185" i="9"/>
  <c r="J186" i="9"/>
  <c r="F179" i="9"/>
  <c r="F180" i="9"/>
  <c r="F181" i="9"/>
  <c r="F182" i="9"/>
  <c r="F183" i="9"/>
  <c r="F184" i="9"/>
  <c r="F185" i="9"/>
  <c r="F186" i="9"/>
  <c r="J177" i="9"/>
  <c r="J178" i="9"/>
  <c r="F177" i="9"/>
  <c r="F178" i="9"/>
  <c r="J176" i="9" l="1"/>
  <c r="J175" i="9"/>
  <c r="J174" i="9"/>
  <c r="J173" i="9"/>
  <c r="J172" i="9"/>
  <c r="J171" i="9"/>
  <c r="J170" i="9"/>
  <c r="F170" i="9"/>
  <c r="F171" i="9"/>
  <c r="F172" i="9"/>
  <c r="F173" i="9"/>
  <c r="F174" i="9"/>
  <c r="F175" i="9"/>
  <c r="F176" i="9"/>
  <c r="J165" i="9" l="1"/>
  <c r="J166" i="9"/>
  <c r="J167" i="9"/>
  <c r="J168" i="9"/>
  <c r="J169" i="9"/>
  <c r="F165" i="9"/>
  <c r="F166" i="9"/>
  <c r="F167" i="9"/>
  <c r="F168" i="9"/>
  <c r="F169" i="9"/>
  <c r="J156" i="9"/>
  <c r="J157" i="9"/>
  <c r="J158" i="9"/>
  <c r="J159" i="9"/>
  <c r="J160" i="9"/>
  <c r="J161" i="9"/>
  <c r="J162" i="9"/>
  <c r="J163" i="9"/>
  <c r="J164" i="9"/>
  <c r="F156" i="9"/>
  <c r="F157" i="9"/>
  <c r="F158" i="9"/>
  <c r="F159" i="9"/>
  <c r="F160" i="9"/>
  <c r="F161" i="9"/>
  <c r="F162" i="9"/>
  <c r="F163" i="9"/>
  <c r="F164" i="9"/>
  <c r="J155" i="9"/>
  <c r="F155" i="9"/>
  <c r="J153" i="9" l="1"/>
  <c r="J154" i="9"/>
  <c r="F153" i="9"/>
  <c r="F154" i="9"/>
  <c r="J147" i="9" l="1"/>
  <c r="J148" i="9"/>
  <c r="J149" i="9"/>
  <c r="J150" i="9"/>
  <c r="J151" i="9"/>
  <c r="J152" i="9"/>
  <c r="F147" i="9"/>
  <c r="F148" i="9"/>
  <c r="F149" i="9"/>
  <c r="F150" i="9"/>
  <c r="F151" i="9"/>
  <c r="F152" i="9"/>
  <c r="J141" i="9" l="1"/>
  <c r="J142" i="9"/>
  <c r="J143" i="9"/>
  <c r="J144" i="9"/>
  <c r="J145" i="9"/>
  <c r="J146" i="9"/>
  <c r="F141" i="9"/>
  <c r="F142" i="9"/>
  <c r="F143" i="9"/>
  <c r="F144" i="9"/>
  <c r="F145" i="9"/>
  <c r="F146" i="9"/>
  <c r="F140" i="9" l="1"/>
  <c r="J140" i="9"/>
  <c r="J137" i="9" l="1"/>
  <c r="J138" i="9"/>
  <c r="J139" i="9"/>
  <c r="F137" i="9"/>
  <c r="F138" i="9"/>
  <c r="F139" i="9"/>
  <c r="J133" i="9"/>
  <c r="J134" i="9"/>
  <c r="J135" i="9"/>
  <c r="J136" i="9"/>
  <c r="F133" i="9"/>
  <c r="F134" i="9"/>
  <c r="F135" i="9"/>
  <c r="F136" i="9"/>
  <c r="J130" i="9" l="1"/>
  <c r="J132" i="9"/>
  <c r="J131" i="9"/>
  <c r="J129" i="9"/>
  <c r="J128" i="9"/>
  <c r="J127" i="9"/>
  <c r="J126" i="9"/>
  <c r="J125" i="9"/>
  <c r="J124" i="9"/>
  <c r="J123" i="9"/>
  <c r="J122" i="9"/>
  <c r="J121" i="9"/>
  <c r="J120" i="9"/>
  <c r="F120" i="9"/>
  <c r="F121" i="9"/>
  <c r="F122" i="9"/>
  <c r="F123" i="9"/>
  <c r="F124" i="9"/>
  <c r="F125" i="9"/>
  <c r="F126" i="9"/>
  <c r="F127" i="9"/>
  <c r="F128" i="9"/>
  <c r="F129" i="9"/>
  <c r="F130" i="9"/>
  <c r="F131" i="9"/>
  <c r="F132" i="9"/>
  <c r="J119" i="9" l="1"/>
  <c r="F119" i="9"/>
  <c r="J118" i="9"/>
  <c r="F118" i="9"/>
  <c r="J108" i="9" l="1"/>
  <c r="J109" i="9"/>
  <c r="J110" i="9"/>
  <c r="J111" i="9"/>
  <c r="J112" i="9"/>
  <c r="J113" i="9"/>
  <c r="J114" i="9"/>
  <c r="J115" i="9"/>
  <c r="J116" i="9"/>
  <c r="J117" i="9"/>
  <c r="F108" i="9"/>
  <c r="F109" i="9"/>
  <c r="F110" i="9"/>
  <c r="F111" i="9"/>
  <c r="F112" i="9"/>
  <c r="F113" i="9"/>
  <c r="F114" i="9"/>
  <c r="F115" i="9"/>
  <c r="F116" i="9"/>
  <c r="F117" i="9"/>
  <c r="J107" i="9" l="1"/>
  <c r="J97" i="9" l="1"/>
  <c r="J98" i="9"/>
  <c r="J99" i="9"/>
  <c r="J100" i="9"/>
  <c r="J101" i="9"/>
  <c r="J102" i="9"/>
  <c r="J103" i="9"/>
  <c r="J104" i="9"/>
  <c r="J105" i="9"/>
  <c r="J106" i="9"/>
  <c r="F105" i="9"/>
  <c r="F106" i="9"/>
  <c r="F107" i="9"/>
  <c r="F98" i="9"/>
  <c r="F99" i="9"/>
  <c r="F100" i="9"/>
  <c r="F101" i="9"/>
  <c r="F102" i="9"/>
  <c r="F103" i="9"/>
  <c r="F104" i="9"/>
  <c r="F97" i="9"/>
  <c r="J96" i="9" l="1"/>
  <c r="F96" i="9"/>
  <c r="J95" i="9" l="1"/>
  <c r="F95" i="9"/>
  <c r="J88" i="9" l="1"/>
  <c r="J89" i="9"/>
  <c r="J90" i="9"/>
  <c r="J91" i="9"/>
  <c r="J92" i="9"/>
  <c r="J93" i="9"/>
  <c r="J94" i="9"/>
  <c r="F88" i="9"/>
  <c r="F89" i="9"/>
  <c r="F90" i="9"/>
  <c r="F91" i="9"/>
  <c r="F92" i="9"/>
  <c r="F93" i="9"/>
  <c r="F94" i="9"/>
  <c r="J80" i="9"/>
  <c r="J81" i="9"/>
  <c r="J82" i="9"/>
  <c r="J83" i="9"/>
  <c r="J84" i="9"/>
  <c r="J85" i="9"/>
  <c r="J86" i="9"/>
  <c r="J87" i="9"/>
  <c r="F80" i="9"/>
  <c r="F81" i="9"/>
  <c r="F82" i="9"/>
  <c r="F83" i="9"/>
  <c r="F84" i="9"/>
  <c r="F85" i="9"/>
  <c r="F86" i="9"/>
  <c r="F87" i="9"/>
  <c r="J79" i="9"/>
  <c r="F72" i="9"/>
  <c r="F73" i="9"/>
  <c r="F74" i="9"/>
  <c r="F75" i="9"/>
  <c r="F76" i="9"/>
  <c r="F77" i="9"/>
  <c r="F78" i="9"/>
  <c r="F79" i="9"/>
  <c r="J72" i="9"/>
  <c r="J73" i="9"/>
  <c r="J74" i="9"/>
  <c r="J75" i="9"/>
  <c r="J76" i="9"/>
  <c r="J77" i="9"/>
  <c r="J78" i="9"/>
  <c r="J71" i="9" l="1"/>
  <c r="F71" i="9"/>
  <c r="J70" i="9" l="1"/>
  <c r="F70" i="9"/>
  <c r="J63" i="9" l="1"/>
  <c r="J64" i="9"/>
  <c r="J65" i="9"/>
  <c r="J66" i="9"/>
  <c r="J67" i="9"/>
  <c r="J68" i="9"/>
  <c r="J69" i="9"/>
  <c r="F63" i="9"/>
  <c r="F64" i="9"/>
  <c r="F65" i="9"/>
  <c r="F66" i="9"/>
  <c r="F67" i="9"/>
  <c r="F68" i="9"/>
  <c r="F69" i="9"/>
  <c r="J55" i="9" l="1"/>
  <c r="J56" i="9"/>
  <c r="J57" i="9"/>
  <c r="J58" i="9"/>
  <c r="J59" i="9"/>
  <c r="J60" i="9"/>
  <c r="J61" i="9"/>
  <c r="J62" i="9"/>
  <c r="F55" i="9"/>
  <c r="F56" i="9"/>
  <c r="F57" i="9"/>
  <c r="F58" i="9"/>
  <c r="F59" i="9"/>
  <c r="F60" i="9"/>
  <c r="F61" i="9"/>
  <c r="F62" i="9"/>
  <c r="J54" i="9"/>
  <c r="F54" i="9"/>
  <c r="J53" i="9" l="1"/>
  <c r="J52" i="9"/>
  <c r="J51" i="9"/>
  <c r="J50" i="9"/>
  <c r="J48" i="9"/>
  <c r="J47" i="9"/>
  <c r="J46" i="9"/>
  <c r="J45" i="9"/>
  <c r="F45" i="9"/>
  <c r="F46" i="9"/>
  <c r="F47" i="9"/>
  <c r="F48" i="9"/>
  <c r="F49" i="9"/>
  <c r="F50" i="9"/>
  <c r="F51" i="9"/>
  <c r="F52" i="9"/>
  <c r="F53" i="9"/>
  <c r="J44" i="9" l="1"/>
  <c r="F44" i="9"/>
  <c r="J43" i="9"/>
  <c r="F43" i="9"/>
  <c r="J33" i="9" l="1"/>
  <c r="J34" i="9"/>
  <c r="J35" i="9"/>
  <c r="J36" i="9"/>
  <c r="J37" i="9"/>
  <c r="J38" i="9"/>
  <c r="J39" i="9"/>
  <c r="J40" i="9"/>
  <c r="J41" i="9"/>
  <c r="J42" i="9"/>
  <c r="F33" i="9"/>
  <c r="F34" i="9"/>
  <c r="F35" i="9"/>
  <c r="F36" i="9"/>
  <c r="F37" i="9"/>
  <c r="F38" i="9"/>
  <c r="F39" i="9"/>
  <c r="F40" i="9"/>
  <c r="F41" i="9"/>
  <c r="F42" i="9"/>
  <c r="J26" i="9" l="1"/>
  <c r="J27" i="9"/>
  <c r="J28" i="9"/>
  <c r="J29" i="9"/>
  <c r="J30" i="9"/>
  <c r="J31" i="9"/>
  <c r="J32" i="9"/>
  <c r="F26" i="9"/>
  <c r="F27" i="9"/>
  <c r="F28" i="9"/>
  <c r="F29" i="9"/>
  <c r="F30" i="9"/>
  <c r="F31" i="9"/>
  <c r="F32" i="9"/>
  <c r="J20" i="9" l="1"/>
  <c r="J21" i="9"/>
  <c r="J22" i="9"/>
  <c r="J23" i="9"/>
  <c r="J24" i="9"/>
  <c r="J25" i="9"/>
  <c r="F20" i="9"/>
  <c r="F21" i="9"/>
  <c r="F22" i="9"/>
  <c r="F23" i="9"/>
  <c r="F24" i="9"/>
  <c r="F25" i="9"/>
  <c r="J18" i="9" l="1"/>
  <c r="J19" i="9"/>
  <c r="F18" i="9"/>
  <c r="F19" i="9"/>
  <c r="J17" i="9" l="1"/>
  <c r="J16" i="9"/>
  <c r="J15" i="9"/>
  <c r="J14" i="9"/>
  <c r="J13" i="9"/>
  <c r="J12" i="9"/>
  <c r="J11" i="9"/>
  <c r="J10" i="9"/>
  <c r="F10" i="9"/>
  <c r="F11" i="9"/>
  <c r="F12" i="9"/>
  <c r="F13" i="9"/>
  <c r="F14" i="9"/>
  <c r="F15" i="9"/>
  <c r="F16" i="9"/>
  <c r="F17" i="9"/>
  <c r="J4" i="9" l="1"/>
  <c r="J5" i="9"/>
  <c r="J6" i="9"/>
  <c r="J7" i="9"/>
  <c r="J8" i="9"/>
  <c r="J9" i="9"/>
  <c r="F4" i="9"/>
  <c r="F5" i="9"/>
  <c r="F6" i="9"/>
  <c r="F7" i="9"/>
  <c r="F8" i="9"/>
  <c r="F9" i="9"/>
  <c r="J2" i="9"/>
  <c r="J3" i="9"/>
  <c r="F2" i="9"/>
  <c r="F3" i="9"/>
  <c r="A54" i="6" l="1"/>
  <c r="A52" i="6"/>
  <c r="A50" i="6"/>
  <c r="A43" i="6"/>
  <c r="A44" i="6" s="1"/>
  <c r="A45" i="6" s="1"/>
  <c r="A46" i="6" s="1"/>
  <c r="A47" i="6" s="1"/>
  <c r="A41" i="6"/>
  <c r="A38" i="6"/>
  <c r="A39" i="6" s="1"/>
  <c r="A3" i="6"/>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3" i="3"/>
  <c r="A4" i="3" s="1"/>
  <c r="A5" i="3" s="1"/>
  <c r="A6" i="3" s="1"/>
  <c r="A7" i="3" s="1"/>
  <c r="A8" i="3" s="1"/>
  <c r="A9" i="3" s="1"/>
  <c r="A10" i="3" s="1"/>
  <c r="A11" i="3" s="1"/>
  <c r="A12" i="3" s="1"/>
  <c r="A13" i="3" s="1"/>
  <c r="A14" i="3" s="1"/>
  <c r="A15" i="3" s="1"/>
  <c r="A16" i="3" s="1"/>
  <c r="A3" i="9" l="1"/>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A505" i="9" s="1"/>
  <c r="A506" i="9" s="1"/>
  <c r="A507" i="9" s="1"/>
  <c r="A508" i="9" s="1"/>
  <c r="A509" i="9" s="1"/>
  <c r="A510" i="9" s="1"/>
  <c r="A511" i="9" s="1"/>
  <c r="A512" i="9" s="1"/>
  <c r="A513" i="9" s="1"/>
  <c r="A514" i="9" s="1"/>
  <c r="A515" i="9" s="1"/>
  <c r="A516" i="9" s="1"/>
  <c r="A517" i="9" s="1"/>
  <c r="A518" i="9" s="1"/>
  <c r="A519" i="9" s="1"/>
  <c r="A520" i="9" s="1"/>
  <c r="A521" i="9" s="1"/>
  <c r="A522" i="9" s="1"/>
  <c r="A523" i="9" s="1"/>
  <c r="A524" i="9" s="1"/>
  <c r="A525" i="9" s="1"/>
  <c r="A526" i="9" s="1"/>
  <c r="A527" i="9" s="1"/>
  <c r="A528" i="9" s="1"/>
  <c r="A529" i="9" s="1"/>
  <c r="A530" i="9" s="1"/>
  <c r="A531" i="9" s="1"/>
  <c r="A532" i="9" s="1"/>
  <c r="A533" i="9" s="1"/>
  <c r="A534" i="9" s="1"/>
  <c r="A535" i="9" s="1"/>
  <c r="A536" i="9" s="1"/>
  <c r="A537" i="9" s="1"/>
  <c r="A538" i="9" s="1"/>
  <c r="A539" i="9" s="1"/>
  <c r="A540" i="9" s="1"/>
  <c r="A541" i="9" s="1"/>
  <c r="A542" i="9" s="1"/>
</calcChain>
</file>

<file path=xl/sharedStrings.xml><?xml version="1.0" encoding="utf-8"?>
<sst xmlns="http://schemas.openxmlformats.org/spreadsheetml/2006/main" count="10592" uniqueCount="1896">
  <si>
    <t>S.no</t>
  </si>
  <si>
    <t>Date</t>
  </si>
  <si>
    <t>Reported By</t>
  </si>
  <si>
    <t>Shift</t>
  </si>
  <si>
    <t xml:space="preserve">Event Trigger Time </t>
  </si>
  <si>
    <t>Transporter</t>
  </si>
  <si>
    <t>Driver Name</t>
  </si>
  <si>
    <t>Driver ID</t>
  </si>
  <si>
    <t xml:space="preserve">GA </t>
  </si>
  <si>
    <t>Violation</t>
  </si>
  <si>
    <t>Broadcast Message</t>
  </si>
  <si>
    <t>Mail Sent</t>
  </si>
  <si>
    <t xml:space="preserve">Mail Time </t>
  </si>
  <si>
    <t>Comments / Remark</t>
  </si>
  <si>
    <t>Status</t>
  </si>
  <si>
    <t xml:space="preserve">Praveen Kumar V </t>
  </si>
  <si>
    <t>C</t>
  </si>
  <si>
    <t>KL41U3480</t>
  </si>
  <si>
    <t>No Seatbelt</t>
  </si>
  <si>
    <t>Not Applicable</t>
  </si>
  <si>
    <t>Yes</t>
  </si>
  <si>
    <t>Closed</t>
  </si>
  <si>
    <t>KA01AR7750</t>
  </si>
  <si>
    <t>RJ19GH6360</t>
  </si>
  <si>
    <t>Overspeed</t>
  </si>
  <si>
    <t>TN13AB7803</t>
  </si>
  <si>
    <t>Mobile Usage</t>
  </si>
  <si>
    <t>S Prabakaran</t>
  </si>
  <si>
    <t>A</t>
  </si>
  <si>
    <t>Observation</t>
  </si>
  <si>
    <t>Open</t>
  </si>
  <si>
    <t>KA01AM5032</t>
  </si>
  <si>
    <t>KA01AM9726</t>
  </si>
  <si>
    <t>KL41V9675</t>
  </si>
  <si>
    <t>TN33BY1350</t>
  </si>
  <si>
    <t>MH14KQ8144</t>
  </si>
  <si>
    <t>TN88J4384</t>
  </si>
  <si>
    <t>GJ12BX5521</t>
  </si>
  <si>
    <t>K.Gopinath</t>
  </si>
  <si>
    <t>B</t>
  </si>
  <si>
    <t>KA01AN9662</t>
  </si>
  <si>
    <t>AP39UL4523</t>
  </si>
  <si>
    <t>KL41V0256</t>
  </si>
  <si>
    <t>AP39VD2832</t>
  </si>
  <si>
    <t>KA01AN2568</t>
  </si>
  <si>
    <t>GJ12BX5648</t>
  </si>
  <si>
    <t>AKT</t>
  </si>
  <si>
    <t>TN88J0306</t>
  </si>
  <si>
    <t>AP39VD4478</t>
  </si>
  <si>
    <t>RJ19GK1679</t>
  </si>
  <si>
    <t>RJ19GK3119</t>
  </si>
  <si>
    <t>GJ27TT8255</t>
  </si>
  <si>
    <t>KL09AU9736</t>
  </si>
  <si>
    <t>AP39UG3757</t>
  </si>
  <si>
    <t>TN33BY1383</t>
  </si>
  <si>
    <t>TN87B6382</t>
  </si>
  <si>
    <t>TN88J3746</t>
  </si>
  <si>
    <t>AP39VD4482</t>
  </si>
  <si>
    <t>TN87B6394</t>
  </si>
  <si>
    <t>KA01AM4291</t>
  </si>
  <si>
    <t>TN33BY1306</t>
  </si>
  <si>
    <t>TN88J3623</t>
  </si>
  <si>
    <t>RJ19GH6331</t>
  </si>
  <si>
    <t>TN13AF3642</t>
  </si>
  <si>
    <t>RJ14GP2193</t>
  </si>
  <si>
    <t>KA01AM6976</t>
  </si>
  <si>
    <t>TN88J8331</t>
  </si>
  <si>
    <t>KA01AM4880</t>
  </si>
  <si>
    <t>TN87B6483</t>
  </si>
  <si>
    <t>TN13AB7517</t>
  </si>
  <si>
    <t>RJ19GH6332</t>
  </si>
  <si>
    <t>KA01AM7158</t>
  </si>
  <si>
    <t>AGP/CNG/CHK/471</t>
  </si>
  <si>
    <t>GJ05CU1486</t>
  </si>
  <si>
    <t>NL01AE4802</t>
  </si>
  <si>
    <t>UP17AT7423</t>
  </si>
  <si>
    <t>KA01AM7160</t>
  </si>
  <si>
    <t>RJ19GH8324</t>
  </si>
  <si>
    <t>RJ19GH7141</t>
  </si>
  <si>
    <t>Man Singh</t>
  </si>
  <si>
    <t>AGP/CNG/BJJ/030</t>
  </si>
  <si>
    <t>KA01AM9725</t>
  </si>
  <si>
    <t>MURULI HR</t>
  </si>
  <si>
    <t>RJ19GH8186</t>
  </si>
  <si>
    <t>KA01AN9646</t>
  </si>
  <si>
    <t>Karthikeyan S</t>
  </si>
  <si>
    <t>KL41V0273</t>
  </si>
  <si>
    <t>AP39UL3916</t>
  </si>
  <si>
    <t>NL01AH0275</t>
  </si>
  <si>
    <t>KL41V9887</t>
  </si>
  <si>
    <t>NOUPHAL.A</t>
  </si>
  <si>
    <t>AGP/CNG/AKT/018</t>
  </si>
  <si>
    <t>KA01AM9804</t>
  </si>
  <si>
    <t>AGP/CNG/BJJ/123</t>
  </si>
  <si>
    <t>GJ39TA2616</t>
  </si>
  <si>
    <t>RJ19GH7453</t>
  </si>
  <si>
    <t>KA01AL3719</t>
  </si>
  <si>
    <t>UP53HT0676</t>
  </si>
  <si>
    <t>KA01AL9139</t>
  </si>
  <si>
    <t>TN88J2175</t>
  </si>
  <si>
    <t>GJ39TA2576</t>
  </si>
  <si>
    <t>NL01AF1649</t>
  </si>
  <si>
    <t>TN88J0415</t>
  </si>
  <si>
    <t>TN88J4240</t>
  </si>
  <si>
    <t>TN88K5754</t>
  </si>
  <si>
    <t>KA01AM6978</t>
  </si>
  <si>
    <t>RJ19GH7451</t>
  </si>
  <si>
    <t>S.No</t>
  </si>
  <si>
    <t>Shift in-charge</t>
  </si>
  <si>
    <t xml:space="preserve">Shift </t>
  </si>
  <si>
    <t>Events triggered in portal (Post filtration)</t>
  </si>
  <si>
    <t>Events captured through monitoring</t>
  </si>
  <si>
    <t>Observations</t>
  </si>
  <si>
    <t>Observation brief</t>
  </si>
  <si>
    <t>Action taken Events</t>
  </si>
  <si>
    <t>Pending events handover to next shift</t>
  </si>
  <si>
    <t>Remarks</t>
  </si>
  <si>
    <t>A(06:00 to 14:00 hrs)</t>
  </si>
  <si>
    <t>Nil</t>
  </si>
  <si>
    <t>Transportar name</t>
  </si>
  <si>
    <t>Vehicle No</t>
  </si>
  <si>
    <t>18.10.2024</t>
  </si>
  <si>
    <t>MP16ZE8457</t>
  </si>
  <si>
    <t>Ganesh Dasari</t>
  </si>
  <si>
    <t>Not created</t>
  </si>
  <si>
    <t>Nellore</t>
  </si>
  <si>
    <t>Whatsapp msg, mail sent</t>
  </si>
  <si>
    <t>17.10.2024</t>
  </si>
  <si>
    <t>Rajesh Kumar</t>
  </si>
  <si>
    <t>AP39UV7392</t>
  </si>
  <si>
    <t>Raju</t>
  </si>
  <si>
    <t>Tirupathi</t>
  </si>
  <si>
    <t>TN18BS5173</t>
  </si>
  <si>
    <t>Deepak</t>
  </si>
  <si>
    <t>Kanchipuram</t>
  </si>
  <si>
    <t>AI camera angle need to be changed</t>
  </si>
  <si>
    <t>21.10.2024</t>
  </si>
  <si>
    <t>Napolean</t>
  </si>
  <si>
    <t>G</t>
  </si>
  <si>
    <t>MH14LL6819</t>
  </si>
  <si>
    <t>Parmesh E/Pradeep</t>
  </si>
  <si>
    <t>CHK</t>
  </si>
  <si>
    <t xml:space="preserve">TN18BS5173 </t>
  </si>
  <si>
    <t>Whatsapp msg, mail sent / Mailed to O&amp;M Team</t>
  </si>
  <si>
    <t>22.10.2024</t>
  </si>
  <si>
    <t>GJ02AT6498</t>
  </si>
  <si>
    <t>Ezhil</t>
  </si>
  <si>
    <t>Vellore</t>
  </si>
  <si>
    <t>23.10.2024</t>
  </si>
  <si>
    <t xml:space="preserve">AP39SJ4897 </t>
  </si>
  <si>
    <t>Mahesh</t>
  </si>
  <si>
    <t>ANK</t>
  </si>
  <si>
    <t xml:space="preserve">MH14LL7256 </t>
  </si>
  <si>
    <t>Prabhu</t>
  </si>
  <si>
    <t>Ramanathapuram</t>
  </si>
  <si>
    <t>24.10.2024</t>
  </si>
  <si>
    <t>30.10.2024</t>
  </si>
  <si>
    <t>Madhu Sudhan</t>
  </si>
  <si>
    <t>25.11.2024</t>
  </si>
  <si>
    <t>TN18BS5122</t>
  </si>
  <si>
    <t>26.11.2024</t>
  </si>
  <si>
    <t>Front camera angle need to be changed</t>
  </si>
  <si>
    <t>28.11.2024</t>
  </si>
  <si>
    <t>RJ19GJ3638</t>
  </si>
  <si>
    <t>Unassigned</t>
  </si>
  <si>
    <t>BJJ</t>
  </si>
  <si>
    <t>03.12.2024</t>
  </si>
  <si>
    <t>RJ19GJ3883</t>
  </si>
  <si>
    <t>23.01.2025</t>
  </si>
  <si>
    <t>MH14LL7256</t>
  </si>
  <si>
    <t>AI &amp; Front camera angle need to be changed</t>
  </si>
  <si>
    <t>RJ07GE2182</t>
  </si>
  <si>
    <t>GA Location list</t>
  </si>
  <si>
    <t>Logistics Co-ordinator</t>
  </si>
  <si>
    <t>Logistics Email Id</t>
  </si>
  <si>
    <t>Logistics Contact</t>
  </si>
  <si>
    <t>HSE Co-ordinator</t>
  </si>
  <si>
    <t>HSE contact no</t>
  </si>
  <si>
    <t>HSE Contact No</t>
  </si>
  <si>
    <t>GA Head</t>
  </si>
  <si>
    <t>Marketing</t>
  </si>
  <si>
    <t>O&amp;M Head</t>
  </si>
  <si>
    <t>sampath.kumar@think-gas.com                          c.logistics.ank@think-gas.com</t>
  </si>
  <si>
    <t>Sushil Rambabu Kathuria 
Devendar Sircilla
shisira kumar pradhan</t>
  </si>
  <si>
    <t>sushil.rk@think-gas.com  shisir.kumar@think-gas.com
devendar.sircilla@think-gas.com</t>
  </si>
  <si>
    <t>7490967996
6381038583
6200692003</t>
  </si>
  <si>
    <t xml:space="preserve">    Gautam Anand (Zonal head) gautam.anand@think-gas.com Aditya (Dist Mgr) aditya.vardhan@think-gas.com</t>
  </si>
  <si>
    <t>prasad@agppratham.com</t>
  </si>
  <si>
    <t>shisira kumar pradhan</t>
  </si>
  <si>
    <r>
      <rPr>
        <b/>
        <sz val="11"/>
        <color theme="1"/>
        <rFont val="Calibri"/>
        <family val="2"/>
        <scheme val="minor"/>
      </rPr>
      <t xml:space="preserve">BKR
</t>
    </r>
    <r>
      <rPr>
        <sz val="11"/>
        <color theme="1"/>
        <rFont val="Calibri"/>
        <family val="2"/>
        <scheme val="minor"/>
      </rPr>
      <t>(Bagalkot, Koppala, Raichur)</t>
    </r>
  </si>
  <si>
    <t>mohammed.usman@think-gas.com
c.logistics.bkr@think-gas.com</t>
  </si>
  <si>
    <t>63643 53668
88848 66005 
80734 56061</t>
  </si>
  <si>
    <t>Viswajith patil
Mruthunjayya S</t>
  </si>
  <si>
    <t xml:space="preserve">
vishwajit.patil@think-gas.com , mruthunjayya.s@think-gas.com </t>
  </si>
  <si>
    <t>9758277746
8129862434
8590019247</t>
  </si>
  <si>
    <t>sumit.dutta@agppratham.com</t>
  </si>
  <si>
    <r>
      <rPr>
        <b/>
        <sz val="11"/>
        <color theme="1"/>
        <rFont val="Calibri"/>
        <family val="2"/>
        <scheme val="minor"/>
      </rPr>
      <t xml:space="preserve">Dahej               </t>
    </r>
    <r>
      <rPr>
        <sz val="11"/>
        <color theme="1"/>
        <rFont val="Calibri"/>
        <family val="2"/>
        <scheme val="minor"/>
      </rPr>
      <t xml:space="preserve">  (Terminal)</t>
    </r>
  </si>
  <si>
    <t>ranjit.singh@think-gas.com
c.hazira.logistics@think-gas.com
sagar.rajput@think-gas.com</t>
  </si>
  <si>
    <t>82204 86222  
97986 82553 
97631 07271</t>
  </si>
  <si>
    <t xml:space="preserve">Vinay Kumar Rai 
</t>
  </si>
  <si>
    <t xml:space="preserve">vinay.kumar@think-gas.com
</t>
  </si>
  <si>
    <t>7041638434
9099950955</t>
  </si>
  <si>
    <t xml:space="preserve">
sundar rajan sundar.rajan@think-gas.com, Deepak Patahk deepak.pathak@think-gas.com</t>
  </si>
  <si>
    <r>
      <rPr>
        <b/>
        <sz val="11"/>
        <color theme="1"/>
        <rFont val="Calibri"/>
        <family val="2"/>
        <scheme val="minor"/>
      </rPr>
      <t xml:space="preserve">CHK
</t>
    </r>
    <r>
      <rPr>
        <sz val="11"/>
        <color theme="1"/>
        <rFont val="Calibri"/>
        <family val="2"/>
        <scheme val="minor"/>
      </rPr>
      <t>(Chikmagalur,Hassan,Kodagu)</t>
    </r>
  </si>
  <si>
    <t>saqlain.katgeri@think-gas
c.logistics.hassan@think-gas.com</t>
  </si>
  <si>
    <t>84950 69683        73536 67393       93537 49600</t>
  </si>
  <si>
    <t>Ajeet Kumar Prajapati ,
Bhavin</t>
  </si>
  <si>
    <t>ajeet.kumar@think-gas.com
bhavin.kantilal@think-gas.com</t>
  </si>
  <si>
    <t>Basavaraju K M basavaraju.km@think-gas.com
 (Deputy)
Brajesh singh (Zonal)</t>
  </si>
  <si>
    <t>karthik.ks@agppratham.com, nitin.huilgol@agppratham.com pravin.vishvanathe@think-gas.com</t>
  </si>
  <si>
    <t>bhavin.kantilal@think-gas.com</t>
  </si>
  <si>
    <r>
      <rPr>
        <b/>
        <sz val="11"/>
        <color theme="1"/>
        <rFont val="Calibri"/>
        <family val="2"/>
        <scheme val="minor"/>
      </rPr>
      <t xml:space="preserve">BJJ
</t>
    </r>
    <r>
      <rPr>
        <sz val="11"/>
        <color theme="1"/>
        <rFont val="Calibri"/>
        <family val="2"/>
        <scheme val="minor"/>
      </rPr>
      <t>(Barmer,Jodhpur, Jaisalmer)</t>
    </r>
  </si>
  <si>
    <t>sahil.rehman@think-gas.com
bjj.logistics@think-gas.com sanjan.singh@think-gas.com</t>
  </si>
  <si>
    <t>7905467715,  99283 99940, 9835567385</t>
  </si>
  <si>
    <t>darpan.chaudhary@agppratham.com</t>
  </si>
  <si>
    <r>
      <rPr>
        <b/>
        <sz val="11"/>
        <color theme="1"/>
        <rFont val="Calibri"/>
        <family val="2"/>
        <scheme val="minor"/>
      </rPr>
      <t xml:space="preserve">KV
</t>
    </r>
    <r>
      <rPr>
        <sz val="11"/>
        <color theme="1"/>
        <rFont val="Calibri"/>
        <family val="2"/>
        <scheme val="minor"/>
      </rPr>
      <t>(Kalburgi, Vijayapura)</t>
    </r>
  </si>
  <si>
    <t>mazhar.ahmed@think-gas.com
kv.logistics@think-gas.com c.logistics.kv@think-gas.com</t>
  </si>
  <si>
    <t xml:space="preserve">91087 91619
78924 54445
95384 95503        </t>
  </si>
  <si>
    <t>7907134312
8306767467</t>
  </si>
  <si>
    <t>Rangarajan Seshadri s.rangarajan@think-gas.com</t>
  </si>
  <si>
    <t>prayag.mishra@agppratham.com</t>
  </si>
  <si>
    <t xml:space="preserve"> vijay.r@think-gas.com
c.logistics.kanchipuram@think-gas.com</t>
  </si>
  <si>
    <t xml:space="preserve">95001 99497
88833 46843
70940 43883       9500429658   </t>
  </si>
  <si>
    <t>7708466438
9521867403</t>
  </si>
  <si>
    <t>k.radhakrishnan@agppratham.com</t>
  </si>
  <si>
    <t>Aftab.Alam@think-gas.com</t>
  </si>
  <si>
    <r>
      <rPr>
        <b/>
        <sz val="11"/>
        <color theme="1"/>
        <rFont val="Calibri"/>
        <family val="2"/>
        <scheme val="minor"/>
      </rPr>
      <t xml:space="preserve">Kochi
</t>
    </r>
    <r>
      <rPr>
        <sz val="11"/>
        <color theme="1"/>
        <rFont val="Calibri"/>
        <family val="2"/>
        <scheme val="minor"/>
      </rPr>
      <t>(Terminal)</t>
    </r>
  </si>
  <si>
    <t>cochin.logistics@think-gas.com
lal.bahadur@thinkgas.com sathish.v@think-gas.com</t>
  </si>
  <si>
    <t>94167 49002
89214 38468             755002 8988</t>
  </si>
  <si>
    <t xml:space="preserve">Pawan Madhukar Jawanjal             
</t>
  </si>
  <si>
    <t xml:space="preserve">pawan.jawanjal@think-gas.com
</t>
  </si>
  <si>
    <t>9850069937
9373152148
9008939348</t>
  </si>
  <si>
    <t>Kolar</t>
  </si>
  <si>
    <t xml:space="preserve">95248 17630  </t>
  </si>
  <si>
    <t>dhamodaran.rajendran@think-gas.com</t>
  </si>
  <si>
    <t>Gautam Anand(Zonal head) gautam.anand@think-gas.com</t>
  </si>
  <si>
    <t>gautam.anand@agppratham.com</t>
  </si>
  <si>
    <r>
      <rPr>
        <b/>
        <sz val="11"/>
        <color theme="1"/>
        <rFont val="Calibri"/>
        <family val="2"/>
        <scheme val="minor"/>
      </rPr>
      <t>MMC</t>
    </r>
    <r>
      <rPr>
        <sz val="11"/>
        <color theme="1"/>
        <rFont val="Calibri"/>
        <family val="2"/>
        <scheme val="minor"/>
      </rPr>
      <t xml:space="preserve"> (Mysore,Mandya,Chamrajnagar)</t>
    </r>
  </si>
  <si>
    <t>lokesh.s@think-gas.com
mmc.logistics@think-gas.com</t>
  </si>
  <si>
    <t xml:space="preserve">97425 72117          87227 10368
</t>
  </si>
  <si>
    <t xml:space="preserve">Santhosh A </t>
  </si>
  <si>
    <t xml:space="preserve">santhosh.a@think-gas.com
</t>
  </si>
  <si>
    <t xml:space="preserve">9738407975
9650699982
 </t>
  </si>
  <si>
    <t xml:space="preserve">Sanjit kumar suman
</t>
  </si>
  <si>
    <t>nitin.huilgol@agppratham.com     madankumar.s@think-gas.com</t>
  </si>
  <si>
    <t>Jeevan</t>
  </si>
  <si>
    <t>jeevan.kumar@think-gas.com
c.logistics.tirupathi@think-gas.com</t>
  </si>
  <si>
    <t>98490 26511</t>
  </si>
  <si>
    <t>Amrendra Kumar &lt;amrendra@agppratham.com&gt;</t>
  </si>
  <si>
    <r>
      <rPr>
        <b/>
        <sz val="11"/>
        <color theme="1"/>
        <rFont val="Calibri"/>
        <family val="2"/>
        <scheme val="minor"/>
      </rPr>
      <t xml:space="preserve">UHS
</t>
    </r>
    <r>
      <rPr>
        <sz val="11"/>
        <color theme="1"/>
        <rFont val="Calibri"/>
        <family val="2"/>
        <scheme val="minor"/>
      </rPr>
      <t>(Uttarkannad,Haveri, Shivamoga)</t>
    </r>
  </si>
  <si>
    <t>chaithanya.indaje@think-gas.com
c.logistics.uhs@think-gas.com</t>
  </si>
  <si>
    <t>87225 53430
9380071691   9945185804</t>
  </si>
  <si>
    <t xml:space="preserve">Sharath Kumar Shetty B, 
</t>
  </si>
  <si>
    <t xml:space="preserve">sharath.shetty@think-gas.com 
</t>
  </si>
  <si>
    <t>9686797948
9601161848</t>
  </si>
  <si>
    <t>Manjunath manjunath@think-gas.com
 (deputy)</t>
  </si>
  <si>
    <t>santosh.kulkarni@agppratham.com</t>
  </si>
  <si>
    <t>dammu.srinu@think-gas.com</t>
  </si>
  <si>
    <r>
      <rPr>
        <b/>
        <sz val="11"/>
        <color theme="1"/>
        <rFont val="Calibri"/>
        <family val="2"/>
        <scheme val="minor"/>
      </rPr>
      <t xml:space="preserve">AKT
</t>
    </r>
    <r>
      <rPr>
        <sz val="11"/>
        <color theme="1"/>
        <rFont val="Calibri"/>
        <family val="2"/>
        <scheme val="minor"/>
      </rPr>
      <t>(Alappuzha,Kollam, Trivandrum, Cherthala)</t>
    </r>
  </si>
  <si>
    <t>Roshan,Pawan Madhukar Jawanjal         
Akhil Vijayan
Sarath A</t>
  </si>
  <si>
    <t>roshan.p@think-gas.com, pawan.jawanjal@think-gas.com
akhil.vijayan@think-gas.com
sarath.a@think-gas.com</t>
  </si>
  <si>
    <t>9850069937
9373152148
9008939348
7763807054</t>
  </si>
  <si>
    <t>srinath.kumar@agppratham.com</t>
  </si>
  <si>
    <t xml:space="preserve">
Logesh Babu</t>
  </si>
  <si>
    <t>Logesh.babu@think-gas.com
vellore.logistics@think-gas.com</t>
  </si>
  <si>
    <t>B Hemachandran &lt;b.hemachandran@agppratham.com&gt;</t>
  </si>
  <si>
    <t>mohammad.kabeer@think-gas.com</t>
  </si>
  <si>
    <t>Epoomari Sivan epoomari.sivan@think-gas.com</t>
  </si>
  <si>
    <t>Karthik &lt;karthik.baskaran@agppratham.com&gt;</t>
  </si>
  <si>
    <r>
      <rPr>
        <b/>
        <sz val="11"/>
        <color theme="1"/>
        <rFont val="Calibri"/>
        <family val="2"/>
        <scheme val="minor"/>
      </rPr>
      <t xml:space="preserve">Ennore
</t>
    </r>
    <r>
      <rPr>
        <sz val="11"/>
        <color theme="1"/>
        <rFont val="Calibri"/>
        <family val="2"/>
        <scheme val="minor"/>
      </rPr>
      <t>(Terminal)</t>
    </r>
  </si>
  <si>
    <t>91647 96655
9514677570,      824864 1266</t>
  </si>
  <si>
    <t>Jalandar</t>
  </si>
  <si>
    <t>Begusarai</t>
  </si>
  <si>
    <t>VehicleNumber</t>
  </si>
  <si>
    <t>VehicleType</t>
  </si>
  <si>
    <t>GALocation</t>
  </si>
  <si>
    <t>TN88J3078</t>
  </si>
  <si>
    <t>MCV</t>
  </si>
  <si>
    <t>Kongunadu Roadlines</t>
  </si>
  <si>
    <t>KNCP</t>
  </si>
  <si>
    <t>RJ14GP1506</t>
  </si>
  <si>
    <t>AP39UG3756</t>
  </si>
  <si>
    <t>KA01AM5294</t>
  </si>
  <si>
    <t>RJ14GP1507</t>
  </si>
  <si>
    <t>RJ14GP1508</t>
  </si>
  <si>
    <t>RJ14GP1807</t>
  </si>
  <si>
    <t>RJ14GP5033</t>
  </si>
  <si>
    <t>KA01AM6186</t>
  </si>
  <si>
    <t>RJ14GP9113</t>
  </si>
  <si>
    <t>RJ14GP2190</t>
  </si>
  <si>
    <t>RJ14GP2189</t>
  </si>
  <si>
    <t>KA01AM6086</t>
  </si>
  <si>
    <t>UHS</t>
  </si>
  <si>
    <t>KA01AM6187</t>
  </si>
  <si>
    <t>MMC</t>
  </si>
  <si>
    <t>TN88J3012</t>
  </si>
  <si>
    <t>TN88H8284</t>
  </si>
  <si>
    <t>KL09AV1246</t>
  </si>
  <si>
    <t>KA01AM5295</t>
  </si>
  <si>
    <t>KA01AM6193</t>
  </si>
  <si>
    <t>KL09AV2180</t>
  </si>
  <si>
    <t>KL09AV4329</t>
  </si>
  <si>
    <t>KA01AM6190</t>
  </si>
  <si>
    <t>KL09AV4263</t>
  </si>
  <si>
    <t>KA01AM6192</t>
  </si>
  <si>
    <t>TN88H8272</t>
  </si>
  <si>
    <t>KNV</t>
  </si>
  <si>
    <t>TN88J2631</t>
  </si>
  <si>
    <t>AP39UG3760</t>
  </si>
  <si>
    <t>AP39UG3761</t>
  </si>
  <si>
    <t>Chittoor</t>
  </si>
  <si>
    <t>TN88H7768</t>
  </si>
  <si>
    <t>TN88J2674</t>
  </si>
  <si>
    <t>TN88H8066</t>
  </si>
  <si>
    <t>TN88J3816</t>
  </si>
  <si>
    <t>TN88J0417</t>
  </si>
  <si>
    <t>TN88J2644</t>
  </si>
  <si>
    <t>KA01AM6185</t>
  </si>
  <si>
    <t>TN88J4061</t>
  </si>
  <si>
    <t>AP39UG9640</t>
  </si>
  <si>
    <t>TN88J3944</t>
  </si>
  <si>
    <t>KA01AM6827</t>
  </si>
  <si>
    <t>RJ14GP2968</t>
  </si>
  <si>
    <t>RJ14GP2964</t>
  </si>
  <si>
    <t>KA01AM7142</t>
  </si>
  <si>
    <t>KA01AM7156</t>
  </si>
  <si>
    <t>KA01AM6829</t>
  </si>
  <si>
    <t>TN88J2106</t>
  </si>
  <si>
    <t>KA01AM7159</t>
  </si>
  <si>
    <t>KA01AM7140</t>
  </si>
  <si>
    <t>KA01AM7383</t>
  </si>
  <si>
    <t>KA01AM8247</t>
  </si>
  <si>
    <t>BKR</t>
  </si>
  <si>
    <t>KA01AM8785</t>
  </si>
  <si>
    <t>RJ19GH6144</t>
  </si>
  <si>
    <t>Rahul Roadlines</t>
  </si>
  <si>
    <t>RJ19GH6145</t>
  </si>
  <si>
    <t>KA01AM9350</t>
  </si>
  <si>
    <t>KA01AM9351</t>
  </si>
  <si>
    <t>KA01AM9727</t>
  </si>
  <si>
    <t>AP39UL3917</t>
  </si>
  <si>
    <t>RJ19GH7140</t>
  </si>
  <si>
    <t>AP39UL4522</t>
  </si>
  <si>
    <t>KA01AM9724</t>
  </si>
  <si>
    <t>KA01AN0969</t>
  </si>
  <si>
    <t>RJ19GH7454</t>
  </si>
  <si>
    <t>KA01AN0967</t>
  </si>
  <si>
    <t>KA01AN0973</t>
  </si>
  <si>
    <t>KA01AN0972</t>
  </si>
  <si>
    <t>RJ19GH7528</t>
  </si>
  <si>
    <t>RJ19GH7359</t>
  </si>
  <si>
    <t>TN88J8394</t>
  </si>
  <si>
    <t>RJ19GH8326</t>
  </si>
  <si>
    <t>KA01AN2556</t>
  </si>
  <si>
    <t>KA01AN2557</t>
  </si>
  <si>
    <t>KA01AN2558</t>
  </si>
  <si>
    <t>KA01AN2554</t>
  </si>
  <si>
    <t>KA01AN2553</t>
  </si>
  <si>
    <t>RJ19GH8844</t>
  </si>
  <si>
    <t>Suraj Tour &amp; Travels</t>
  </si>
  <si>
    <t>RJ19GH8953</t>
  </si>
  <si>
    <t>RJ19GH8846</t>
  </si>
  <si>
    <t>KL09AV9132</t>
  </si>
  <si>
    <t>TN88K1523</t>
  </si>
  <si>
    <t>KA01AM5285</t>
  </si>
  <si>
    <t>RJ14GQ3902</t>
  </si>
  <si>
    <t>KA01AM6113</t>
  </si>
  <si>
    <t>Dhinesh Transports</t>
  </si>
  <si>
    <t>TN13AB7605</t>
  </si>
  <si>
    <t>TN14AF1329</t>
  </si>
  <si>
    <t>TN13AB8624</t>
  </si>
  <si>
    <t>TN13AB8678</t>
  </si>
  <si>
    <t>TN88K3190</t>
  </si>
  <si>
    <t>KA01AN7743</t>
  </si>
  <si>
    <t>KA01AN7744</t>
  </si>
  <si>
    <t>KA01AN7745</t>
  </si>
  <si>
    <t>KA01AN7746</t>
  </si>
  <si>
    <t>KA01AN7742</t>
  </si>
  <si>
    <t>KA01AN7747</t>
  </si>
  <si>
    <t>KL41U2721</t>
  </si>
  <si>
    <t>Sritransways Logistics</t>
  </si>
  <si>
    <t>KL41U2769</t>
  </si>
  <si>
    <t>KA01AN7741</t>
  </si>
  <si>
    <t>KL41U2913</t>
  </si>
  <si>
    <t>KL41U2912</t>
  </si>
  <si>
    <t>TN88K3411</t>
  </si>
  <si>
    <t>KL41U2898</t>
  </si>
  <si>
    <t>TN88K3112</t>
  </si>
  <si>
    <t>TN88K3420</t>
  </si>
  <si>
    <t>KA01AN8716</t>
  </si>
  <si>
    <t>KA01AN8718</t>
  </si>
  <si>
    <t>KL41U3416</t>
  </si>
  <si>
    <t>KL41U3457</t>
  </si>
  <si>
    <t>KA01AN8719</t>
  </si>
  <si>
    <t>KA01AN8720</t>
  </si>
  <si>
    <t>RJ14GQ3899</t>
  </si>
  <si>
    <t>RJ14GQ3900</t>
  </si>
  <si>
    <t>TN88K4325</t>
  </si>
  <si>
    <t>TN13AC3835</t>
  </si>
  <si>
    <t>TN13AC3976</t>
  </si>
  <si>
    <t>TN33BY1343</t>
  </si>
  <si>
    <t>Velan Gogreen Logistics Pvt Ltd</t>
  </si>
  <si>
    <t>KA01AN9659</t>
  </si>
  <si>
    <t>KA01AN9660</t>
  </si>
  <si>
    <t>TN33BY1382</t>
  </si>
  <si>
    <t>KA01AN9652</t>
  </si>
  <si>
    <t>TN88K5359</t>
  </si>
  <si>
    <t>KA01AN9658</t>
  </si>
  <si>
    <t>KA01AP0279</t>
  </si>
  <si>
    <t>KA01AP0283</t>
  </si>
  <si>
    <t>KA01AP0284</t>
  </si>
  <si>
    <t>KA01AP0285</t>
  </si>
  <si>
    <t>KA01AP0280</t>
  </si>
  <si>
    <t>KA01AP0281</t>
  </si>
  <si>
    <t>KA01AP0282</t>
  </si>
  <si>
    <t>TN33BY1573</t>
  </si>
  <si>
    <t>TN33BY1550</t>
  </si>
  <si>
    <t>KA01AN9644</t>
  </si>
  <si>
    <t>KA01AN9649</t>
  </si>
  <si>
    <t>KA01AN9645</t>
  </si>
  <si>
    <t>KA01AN9651</t>
  </si>
  <si>
    <t>TN88K5317</t>
  </si>
  <si>
    <t>KA01AN9647</t>
  </si>
  <si>
    <t>KA01AN9650</t>
  </si>
  <si>
    <t>KA01AN9654</t>
  </si>
  <si>
    <t>KA01AN9663</t>
  </si>
  <si>
    <t>KA01AN9655</t>
  </si>
  <si>
    <t>KA01AN9653</t>
  </si>
  <si>
    <t>TN33BY1518</t>
  </si>
  <si>
    <t>AP39VD2833</t>
  </si>
  <si>
    <t>KA01AP0745</t>
  </si>
  <si>
    <t>KA01AN9656</t>
  </si>
  <si>
    <t>TN33BY1503</t>
  </si>
  <si>
    <t>KA01AP0637</t>
  </si>
  <si>
    <t>KA01AP0645</t>
  </si>
  <si>
    <t>TN88K5743</t>
  </si>
  <si>
    <t>AP39VD4483</t>
  </si>
  <si>
    <t>AP39VD4480</t>
  </si>
  <si>
    <t>AP39VD4952</t>
  </si>
  <si>
    <t>AP39VD4953</t>
  </si>
  <si>
    <t>AP39VD4951</t>
  </si>
  <si>
    <t>AP39VD4481</t>
  </si>
  <si>
    <t>AP39VD4484</t>
  </si>
  <si>
    <t>TN88K9895</t>
  </si>
  <si>
    <t>TN13AD9483</t>
  </si>
  <si>
    <t>TN13AD9466</t>
  </si>
  <si>
    <t>KA01AP7365</t>
  </si>
  <si>
    <t>KA01AP7364</t>
  </si>
  <si>
    <t>KA01AP7366</t>
  </si>
  <si>
    <t>KA01AP7385</t>
  </si>
  <si>
    <t>KA01AP7384</t>
  </si>
  <si>
    <t>TN88L0460</t>
  </si>
  <si>
    <t>KA01AP8453</t>
  </si>
  <si>
    <t>KA01AP8457</t>
  </si>
  <si>
    <t>MH47BL6307</t>
  </si>
  <si>
    <t>Chaudhary Transport</t>
  </si>
  <si>
    <t>GJ27TT7992</t>
  </si>
  <si>
    <t>Anisha Logistics</t>
  </si>
  <si>
    <t>GJ27TT7917</t>
  </si>
  <si>
    <t>GJ27TT7836</t>
  </si>
  <si>
    <t>TN88L3657</t>
  </si>
  <si>
    <t>TN88L3603</t>
  </si>
  <si>
    <t>TN88L3994</t>
  </si>
  <si>
    <t>TN13AF3627</t>
  </si>
  <si>
    <t>TN88L4287</t>
  </si>
  <si>
    <t>KA01AQ5987</t>
  </si>
  <si>
    <t>KA01AQ5990</t>
  </si>
  <si>
    <t>KA01AQ5991</t>
  </si>
  <si>
    <t>TN88L5239</t>
  </si>
  <si>
    <t>KL41V5639</t>
  </si>
  <si>
    <t>KL41V5658</t>
  </si>
  <si>
    <t>BR09GB6687</t>
  </si>
  <si>
    <t>BR09GB6686</t>
  </si>
  <si>
    <t>GJ27TT6842</t>
  </si>
  <si>
    <t>Jalandhar</t>
  </si>
  <si>
    <t>BR09GB4937</t>
  </si>
  <si>
    <t>BR09GB4938</t>
  </si>
  <si>
    <t>Shivpuri</t>
  </si>
  <si>
    <t>Bhopal</t>
  </si>
  <si>
    <t>MP06GA3660</t>
  </si>
  <si>
    <t>MP04GB5705</t>
  </si>
  <si>
    <t>MP04GB5706</t>
  </si>
  <si>
    <t>MP04GB5737</t>
  </si>
  <si>
    <t>MP04GB5752</t>
  </si>
  <si>
    <t>MP04GB5784</t>
  </si>
  <si>
    <t>MP06GA3691</t>
  </si>
  <si>
    <t>MP04GB5977</t>
  </si>
  <si>
    <t>MP04GB6130</t>
  </si>
  <si>
    <t>MP04GB6133</t>
  </si>
  <si>
    <t>GJ27TT8668</t>
  </si>
  <si>
    <t>MP09GH9849</t>
  </si>
  <si>
    <t>Gas Point</t>
  </si>
  <si>
    <t>MP09GH9850</t>
  </si>
  <si>
    <t>MP09GH9952</t>
  </si>
  <si>
    <t>MP09GH9954</t>
  </si>
  <si>
    <t>MP09GH9958</t>
  </si>
  <si>
    <t>MP09GJ0465</t>
  </si>
  <si>
    <t>MP09GJ0467</t>
  </si>
  <si>
    <t>MP09GJ0469</t>
  </si>
  <si>
    <t>MP09GJ0466</t>
  </si>
  <si>
    <t>MP09GJ0468</t>
  </si>
  <si>
    <t>MP04YH6379</t>
  </si>
  <si>
    <t>MP04YH8133</t>
  </si>
  <si>
    <t>MP04YH9274</t>
  </si>
  <si>
    <t>MP04YH9287</t>
  </si>
  <si>
    <t>TN88L6481</t>
  </si>
  <si>
    <t>TN88L6404</t>
  </si>
  <si>
    <t>PB11CX5682</t>
  </si>
  <si>
    <t>PB11CX5683</t>
  </si>
  <si>
    <t>PB11CX5861</t>
  </si>
  <si>
    <t>PB11CX5862</t>
  </si>
  <si>
    <t>GJ27TT6114</t>
  </si>
  <si>
    <t>GJ27TT6216</t>
  </si>
  <si>
    <t>GJ27TT6360</t>
  </si>
  <si>
    <t>GJ27TT7829</t>
  </si>
  <si>
    <t>GJ27TT8248</t>
  </si>
  <si>
    <t>GJ27TT8326</t>
  </si>
  <si>
    <t>GJ27TT8395</t>
  </si>
  <si>
    <t>GJ27TT8396</t>
  </si>
  <si>
    <t>GJ27TT8472</t>
  </si>
  <si>
    <t>PB10HT6184</t>
  </si>
  <si>
    <t>PB65BC2250</t>
  </si>
  <si>
    <t>PB65BC2253</t>
  </si>
  <si>
    <t>PB65BC2254</t>
  </si>
  <si>
    <t>PB10HT5638</t>
  </si>
  <si>
    <t>PB65BC2256</t>
  </si>
  <si>
    <t>PB10HT5634</t>
  </si>
  <si>
    <t>Baghpat</t>
  </si>
  <si>
    <t>UP53GT8802</t>
  </si>
  <si>
    <t>UP53GT8803</t>
  </si>
  <si>
    <t>UP53GT8804</t>
  </si>
  <si>
    <t>UP53GT9081</t>
  </si>
  <si>
    <t>UP53GT9082</t>
  </si>
  <si>
    <t>UP53GT9083</t>
  </si>
  <si>
    <t>UP53KT1960</t>
  </si>
  <si>
    <t>UP53KT1961</t>
  </si>
  <si>
    <t>UP53KT1962</t>
  </si>
  <si>
    <t>PB10HT5631</t>
  </si>
  <si>
    <t>PB10HT5639</t>
  </si>
  <si>
    <t>PB10HT6183</t>
  </si>
  <si>
    <t>TN13AH3439</t>
  </si>
  <si>
    <t>UP17AT8481</t>
  </si>
  <si>
    <t>MP04YJ0774</t>
  </si>
  <si>
    <t>UP32YN8115</t>
  </si>
  <si>
    <t>Anmol Transport</t>
  </si>
  <si>
    <t>UP32YN8116</t>
  </si>
  <si>
    <t>UP32YN8117</t>
  </si>
  <si>
    <t>UP32YN8119</t>
  </si>
  <si>
    <t>UP32YN8120</t>
  </si>
  <si>
    <t>UP32ZN0058</t>
  </si>
  <si>
    <t>UP32YN8097</t>
  </si>
  <si>
    <t>UP32YN8098</t>
  </si>
  <si>
    <t>PB11DK2234</t>
  </si>
  <si>
    <t>PB11DK2235</t>
  </si>
  <si>
    <t>PB11DK2236</t>
  </si>
  <si>
    <t>PB11DK2237</t>
  </si>
  <si>
    <t>PB11DK2238</t>
  </si>
  <si>
    <t>PB11DK2239</t>
  </si>
  <si>
    <t>PB11DK2657</t>
  </si>
  <si>
    <t>PB11DK2658</t>
  </si>
  <si>
    <t>PB11DK2659</t>
  </si>
  <si>
    <t>PB11DK2660</t>
  </si>
  <si>
    <t>PB11DK2661</t>
  </si>
  <si>
    <t>PB11DK3481</t>
  </si>
  <si>
    <t>KL09AV2510</t>
  </si>
  <si>
    <t>RJ19GJ9026</t>
  </si>
  <si>
    <t>RJ19GJ9025</t>
  </si>
  <si>
    <t>RJ19GJ9028</t>
  </si>
  <si>
    <t>TN88L8420</t>
  </si>
  <si>
    <t>TN13AH3449</t>
  </si>
  <si>
    <t>TN88L9300</t>
  </si>
  <si>
    <t>UP17AT7422</t>
  </si>
  <si>
    <t>UP17AT8482</t>
  </si>
  <si>
    <t>KL41V9327</t>
  </si>
  <si>
    <t>KL41V9316</t>
  </si>
  <si>
    <t>HR55AG4392</t>
  </si>
  <si>
    <t>TN13AH8703</t>
  </si>
  <si>
    <t>TN13AH8760</t>
  </si>
  <si>
    <t>TN88M1462</t>
  </si>
  <si>
    <t>TN13AH8770</t>
  </si>
  <si>
    <t>TN88M2093</t>
  </si>
  <si>
    <t>KA01AQ1013</t>
  </si>
  <si>
    <t>KA01AS2380</t>
  </si>
  <si>
    <t>KA01AS2381</t>
  </si>
  <si>
    <t>KA01AL4119</t>
  </si>
  <si>
    <t>LNG Tanker</t>
  </si>
  <si>
    <t>Dahej</t>
  </si>
  <si>
    <t>Ennore</t>
  </si>
  <si>
    <t>TN87B7069</t>
  </si>
  <si>
    <t>KA01AL6761</t>
  </si>
  <si>
    <t>KA01AL7519</t>
  </si>
  <si>
    <t>TN88H6575</t>
  </si>
  <si>
    <t>Kochi</t>
  </si>
  <si>
    <t>TN88H6508</t>
  </si>
  <si>
    <t>NL01AE4799</t>
  </si>
  <si>
    <t>NL01AE4803</t>
  </si>
  <si>
    <t>NL01AF0914</t>
  </si>
  <si>
    <t>KA01AM4286</t>
  </si>
  <si>
    <t>NL01AF0917</t>
  </si>
  <si>
    <t>KA01AM4883</t>
  </si>
  <si>
    <t>GJ16AW0075</t>
  </si>
  <si>
    <t>GJ16AW0175</t>
  </si>
  <si>
    <t>GJ16AW0275</t>
  </si>
  <si>
    <t>GJ16AW0875</t>
  </si>
  <si>
    <t>GJ16AW0975</t>
  </si>
  <si>
    <t>KA01AM4882</t>
  </si>
  <si>
    <t>KA01AM4879</t>
  </si>
  <si>
    <t>KA01AM6283</t>
  </si>
  <si>
    <t>KA01AM6290</t>
  </si>
  <si>
    <t>KA01AM6284</t>
  </si>
  <si>
    <t>KA01AM6281</t>
  </si>
  <si>
    <t>GJ05CU1773</t>
  </si>
  <si>
    <t>TN88J2146</t>
  </si>
  <si>
    <t>GJ16AW1875</t>
  </si>
  <si>
    <t>GJ16AW1575</t>
  </si>
  <si>
    <t>Hazira</t>
  </si>
  <si>
    <t>KA01AM6977</t>
  </si>
  <si>
    <t>Green Planet</t>
  </si>
  <si>
    <t>NL01AG8475</t>
  </si>
  <si>
    <t>GJ05CU0353</t>
  </si>
  <si>
    <t>NL01AH5875</t>
  </si>
  <si>
    <t>NL01AH5841</t>
  </si>
  <si>
    <t>NL01AF1651</t>
  </si>
  <si>
    <t>NL01AF1650</t>
  </si>
  <si>
    <t>NL01AE4801</t>
  </si>
  <si>
    <t>NL01AE4800</t>
  </si>
  <si>
    <t>GJ03BZ0864</t>
  </si>
  <si>
    <t>MH14KQ8146</t>
  </si>
  <si>
    <t>GJ12BX4612</t>
  </si>
  <si>
    <t>GJ16AW0219</t>
  </si>
  <si>
    <t>NL01AJ9375</t>
  </si>
  <si>
    <t>NL01AJ9475</t>
  </si>
  <si>
    <t>RJ19GK3117</t>
  </si>
  <si>
    <t>Sr.No</t>
  </si>
  <si>
    <t>Observer</t>
  </si>
  <si>
    <t>GA</t>
  </si>
  <si>
    <t>Description</t>
  </si>
  <si>
    <t xml:space="preserve">K.Gopinath </t>
  </si>
  <si>
    <t>KL19M6769</t>
  </si>
  <si>
    <t>AWDHESH KUMAR</t>
  </si>
  <si>
    <t> AGP/CNG/UHS/62</t>
  </si>
  <si>
    <t>Driver slow down when 1st pedestrian crossed and observed mirror</t>
  </si>
  <si>
    <t>KA50B1300</t>
  </si>
  <si>
    <t>Basavaraju</t>
  </si>
  <si>
    <t>AGP/CNG/MMC-016</t>
  </si>
  <si>
    <t>A car from left side of the road tries to move to right side of the road reutls in nearmiss with our MCV</t>
  </si>
  <si>
    <t xml:space="preserve"> KA50B0744</t>
  </si>
  <si>
    <t>Mahendra TM</t>
  </si>
  <si>
    <t>AGP/CNG/MMC-010</t>
  </si>
  <si>
    <t>KA50B1426</t>
  </si>
  <si>
    <t>Umesh BE</t>
  </si>
  <si>
    <t>AGP/CHK-426</t>
  </si>
  <si>
    <t>A Two wheeler change lane from right to left suddenly</t>
  </si>
  <si>
    <t>KL19M6407</t>
  </si>
  <si>
    <t>Two wheeler from middle of the road tries to cross the road suddenly results in nearmiss with our MCV</t>
  </si>
  <si>
    <t>unassigned</t>
  </si>
  <si>
    <t>AP39UC4153</t>
  </si>
  <si>
    <t>C Venkateshwarlu</t>
  </si>
  <si>
    <t>AGP/CNG/NEL /0670</t>
  </si>
  <si>
    <t>A truck from left side of the road tries to move to right side of the road reutls in nearmiss with our MCV</t>
  </si>
  <si>
    <t>KA50B1322</t>
  </si>
  <si>
    <t>Vishwaradhya</t>
  </si>
  <si>
    <t>AGP/CNG/KV/023</t>
  </si>
  <si>
    <t>KV</t>
  </si>
  <si>
    <t>Animal is standing in the middle of the road our MCV driver observed it and stops the vehicle</t>
  </si>
  <si>
    <t>KA50B1427</t>
  </si>
  <si>
    <t>KOTRESH</t>
  </si>
  <si>
    <t>AGP/CNG/BKR/01</t>
  </si>
  <si>
    <t>In a Two lane undivided road, A Vehicle from opposite side tries to overtake the other vehicle in same lane which results in nearmiss with our MCV. Our MCV driver was cautious and took slight left to avoid contact with that vehicle.</t>
  </si>
  <si>
    <t>V Thiruvengadam</t>
  </si>
  <si>
    <t>AGP/CNG/KANCHI/059</t>
  </si>
  <si>
    <t>KAN</t>
  </si>
  <si>
    <t>In this video Person travelling in two wheeler not following the overtake procedure which results in Nearmiss (16:56:04)</t>
  </si>
  <si>
    <t>KA50B1276</t>
  </si>
  <si>
    <t>Lingashetty</t>
  </si>
  <si>
    <t>AGP/CNG/KV/011</t>
  </si>
  <si>
    <t>Driver not following overtake procedure and there is no enough space after overtaking our MCV vehicle which results in Nearmiss with opposite Bike and Car and overspeeding violation found as per norms.</t>
  </si>
  <si>
    <t>KA50B0743</t>
  </si>
  <si>
    <t>SATHISH C S</t>
  </si>
  <si>
    <t>AGP/CNG/MMC/005</t>
  </si>
  <si>
    <t>Car from opposite side waiting in the middle of the road to cross the road. Our Driver observed and slow downs the vehicle &amp; took a slight left to avoid contact with that vehicle which results in Nearmiss Event (18:56:52)</t>
  </si>
  <si>
    <t xml:space="preserve">RJ14GP5033 </t>
  </si>
  <si>
    <t>Vikram Singh</t>
  </si>
  <si>
    <t>AGP/CNG/BJJ/126</t>
  </si>
  <si>
    <t>Nearmiss Reported at 19:56:00 A Car from middle of the road makes a U turn suddenly Our Driver observed and slows down the vehicle.</t>
  </si>
  <si>
    <t>Vijayan G</t>
  </si>
  <si>
    <t>KL19M4580</t>
  </si>
  <si>
    <t xml:space="preserve"> NOUPHAL.A</t>
  </si>
  <si>
    <t>observed with a near miss incident with third party car</t>
  </si>
  <si>
    <t>Shafiulla</t>
  </si>
  <si>
    <t>AGP/CNG/BKR/23</t>
  </si>
  <si>
    <t>A Car waiting in the middle of the road to make a right turn our MCV makes a slight left to avoid contact with that car</t>
  </si>
  <si>
    <t>TN18BF6572</t>
  </si>
  <si>
    <t>Rajendiran . R</t>
  </si>
  <si>
    <t>AGP/CNG/VEL/0853</t>
  </si>
  <si>
    <t>Third party near miss - Bike ride was trying to overtake without following the overtaking process in a single road, suppose to fell in road in the process of towing the bike by another bike. Please create awareness among all drivers to be extra cautious in single road about pedestrians and biker haphazard movements.</t>
  </si>
  <si>
    <t>Lingaraju</t>
  </si>
  <si>
    <t>AGP/CNG/MMC-014</t>
  </si>
  <si>
    <t>Near Miss Incident observed @17:32:11 - MCV vehicle crossing the junction without slowing down, at the same time a two wheeler crossed the road from left towards right fastly, incident avoided luckily.
Please create awareness among all drivers to be extra cautious while crossing intersection/junction/round about on pedestrian, cyclist, car/LMV and bike haphazard movements (Follow Stop-See-Go principle: Slow down, Watch for other road users and accelerate further).</t>
  </si>
  <si>
    <t>Harish</t>
  </si>
  <si>
    <t> AGP/CNG/UHS/43</t>
  </si>
  <si>
    <t>Near Miss Incident observed @16:56:22hrs - Our MCV vehicle is trying to take left turn from right side lane (1st lane), at same time third party vehicle is trying to overtake from left lane to take left turn, but vehicle collision was avoided luckily. Please create awareness among all drivers on do not take left turn from right lane, to take left turn, well in advance move MCV to left lane from right lane (500mts before the left turn) and then take left turn, allow left lane vehicles to take first turning, wait for his turn and then turn to left.</t>
  </si>
  <si>
    <t>KA50B1352</t>
  </si>
  <si>
    <t>Srikanth</t>
  </si>
  <si>
    <t>AGP/CHK-409</t>
  </si>
  <si>
    <t xml:space="preserve">Vehicle got stuck in mid of the bridge (traffic area) as there is no way to move forward, Now driver was trying to reverse his vehicle on the bridge with existing traffic and it affecting moving traffic. </t>
  </si>
  <si>
    <t>Deepak Pathak</t>
  </si>
  <si>
    <t>KA50BA1428</t>
  </si>
  <si>
    <t>N CHOWDAPPA</t>
  </si>
  <si>
    <t>AGP/CNG/KOL/027</t>
  </si>
  <si>
    <t>As driver was crossing a intersection road a pedestrian came very close to the vehicle as he was crossing the road without looking and MCV driver involved in road rage.</t>
  </si>
  <si>
    <t>Karthik</t>
  </si>
  <si>
    <t>Mayakrishnan A</t>
  </si>
  <si>
    <t>AGP/LNG/057</t>
  </si>
  <si>
    <t>Driver was getting down from the vehicle, at the same time Mahindra camper crossed the tanker. Near-miss reported by avoiding the door contact with that camper vehicle. Driver did not observed rear side before getting down</t>
  </si>
  <si>
    <t>Balanji MM</t>
  </si>
  <si>
    <t>AGP/CNG/KOL/012</t>
  </si>
  <si>
    <t>Bike Rider from opposite lane of the road tries to cross the road suddenly our MCV driver observed it and took slight right to avoid collision with the bike rider.</t>
  </si>
  <si>
    <t>Near miss observed at 12 second , Driver violating the lane discipline and lane marking,  trying to overtake third party vehicle while there is other vehicle coming from opposite side.
Please advise the driver to follow lane discipline, lane marking and always follow the safe overtaking process.</t>
  </si>
  <si>
    <t>KA50B1301</t>
  </si>
  <si>
    <t>Vijendra</t>
  </si>
  <si>
    <t>AGP/CNG/CHK-428</t>
  </si>
  <si>
    <t>Nearmiss Reported (17:21:15) A car from opposite lane suddenly tries to cross the road without any indication. our MCV Driver Observed the car and slow down the vehicle to avoid Collison with that car.</t>
  </si>
  <si>
    <t>Rmachandran</t>
  </si>
  <si>
    <t>KA50B1424</t>
  </si>
  <si>
    <t>Hanamanth</t>
  </si>
  <si>
    <t>AGP/CNG/KV/0632</t>
  </si>
  <si>
    <t xml:space="preserve"> Today at 16:27hrs Third-party driver catch hold of this MCV driver and was questioning him for his bad behaviour. Following are the reason which was done by our MCV driver on other third-party driver to get in ROAD RAGE &amp; involve in near-miss incident:-Rase driving wrong overtaking </t>
  </si>
  <si>
    <t>23-9-23</t>
  </si>
  <si>
    <t>Girijesh kumar singh</t>
  </si>
  <si>
    <t>AGP/LNG/139</t>
  </si>
  <si>
    <t>Vehicle was standing in Traffic Jam, when Tanker started moving other third-party vehicle was overtaking our Tanker from wrong side and in resulting coming in blind sport of tanker/driver, At that time Co-driver need to be attentive and use hand signal from his side to avoid any incident which is also provide in the training but instead he was on phone. Kindly educated the driver accordingly.</t>
  </si>
  <si>
    <t>25-09-23</t>
  </si>
  <si>
    <t>SAJILAL</t>
  </si>
  <si>
    <t>AGP/CNG/AKT/073</t>
  </si>
  <si>
    <t>Driver was doing Road rage with rear vehicle &amp; To be overtaken process not followed</t>
  </si>
  <si>
    <t>OM PRAKASH-I</t>
  </si>
  <si>
    <t>AGP/CNG/BJJ/040</t>
  </si>
  <si>
    <t>Nearmiss Reported 06:20Am Our MCV overtakes a third party vehicle suddenly Pedestrian cross the opposite side of the road results in nearmiss without Collison with pedestrain  (Refer 00:50)</t>
  </si>
  <si>
    <t xml:space="preserve">TN87B6382  </t>
  </si>
  <si>
    <t>Virendra Kumar Yadav</t>
  </si>
  <si>
    <t>AGP/LNG/255</t>
  </si>
  <si>
    <t>Nearmiss Reported at 16:15 Two Wheeler from opposite side tries to cross other side of the road Our LNG Tanker driver observed it and slow downs the vehicle (Ref 00:12)</t>
  </si>
  <si>
    <t>Third party vehicle "Car" suddenly over takes the other vehicle without any indication , Our MCV driver Observed and Applied sudden brake to avoid collision with that vehicle.</t>
  </si>
  <si>
    <t>KL19M6715</t>
  </si>
  <si>
    <t>Suresh kumar</t>
  </si>
  <si>
    <t>AGP/CNG/NEL/0673</t>
  </si>
  <si>
    <t>Driver was aggressively took right from left lane to middle lane without any indication</t>
  </si>
  <si>
    <t>Bhairo Nath Yadav</t>
  </si>
  <si>
    <t>AGP/LNG/269</t>
  </si>
  <si>
    <t>Vehicle was running on 2nd lane and driver was in distraction, so did not observed Front moving bus stopped suddenly to deboard passengers, driver was maintaining the safe distance and steered the tanker towards right lane and no incident happened. Co-driver was on phone and not guided main driver. Please advice the driver always keep his eye on road and not involve in distraction while driving and such situations co-driver need to alert and guide the main driver</t>
  </si>
  <si>
    <t xml:space="preserve">KA01AN7747 </t>
  </si>
  <si>
    <t>A car from service road takes a left with Indication to join the Bypass Road but suddenly other third party vehicle from same road tries to overtake the car without indication so the car suddenly stopped the vehicle. Our MCV Driver observed it and applied a sudden brake to avoid collision with the car.</t>
  </si>
  <si>
    <t>Rajkumar Yadav</t>
  </si>
  <si>
    <t>AGP/LNG/291</t>
  </si>
  <si>
    <t>Vehicle was negotiating the Roundabout with Haphazard movement of other road users. As driver moved the tanker from left side to right side to negotiate the round about. A Third party crusher was on his lane at right side of the tanker, while making the turn our driver did not signal the third party crusher driver &amp; did not judge the turning radius of the vehicle. Since third party crusher driver stopped his vehicle, incident avoided. Please educated the driver about Right of way at Round about and always judge the turning radius of the vehicle while taking turn at round about</t>
  </si>
  <si>
    <t>TN88H2182</t>
  </si>
  <si>
    <t>Thirunavvukarasu</t>
  </si>
  <si>
    <t>AGP/CNG/NEL/0668</t>
  </si>
  <si>
    <t>MCV was crossing an intersection with Haphazard movement of other road users, at the same time suddenly a bike rider came Infront of the vehicle through Gap in median from opposite side and crossed the road towards LHS intersection, thereby Near-miss reported. As MCV was at intersection driver could have decrease the speed of the vehicle in this case.
And @11:12:20hrs MCV was negotiating Roundabout, a pedestrian was crossing the road, MCV steered the vehicle towards right and moved, which caused an auto-rickshaw and other road users at right side of the MCV forced to stop suddenly leading a Near-miss. MCV driver could have slow down before negotiating round about and stopped to allowing pedestrian to cross the road in this case. Please educate the driver about Right of way at intersection/ round-about and be-aware &amp; cautious about the Haphazard movement of other road users.</t>
  </si>
  <si>
    <t>Vehicle is running at Single Undivided road with Haphazard movement of other road users. @14:36:01hrs one Auto that was trying to overtake other vehicle came in front of our MCV, incident avoided by MCV driver. At the same time one lady passenger suddenly came Infront of moving bus and auto took U-turn in-front of the bus. (Recorded in rear camera).@14:36:17hrs pedestrian crossing the road suddenly running in-front of the bus. (Recorded in rear camera).
@14:36:32 Black car tried to move to other side of road from constructed area. MCV driver noticed well in advance and stopped the vehicle thereby incident avoided.
Same situation happened with bus with sedan car which was trying maneuvering but bus driver avoided incident (recorded in rear camera)</t>
  </si>
  <si>
    <t>Jayashankar Murthy BS</t>
  </si>
  <si>
    <t>AGP/CNG/CHK-431</t>
  </si>
  <si>
    <t>Vehicle was running on single undivided dual carriage road and trying to overtake a tractor trolly. As driver start the overtaking, from opposite side an auto came and driver have to stop the overtaking.
Kindly educate the drivers on correct method of overtaking (MSM rule), and not to overtake on single undivided dual carriage road without confirming space cushion.</t>
  </si>
  <si>
    <t>KA01AM0219</t>
  </si>
  <si>
    <t>Ravishankar</t>
  </si>
  <si>
    <t>AGP/LNG/206</t>
  </si>
  <si>
    <t>@12:15:39hrs:- vehicle was standing at unsafe parking space (left side of the road) and driver was speaking over phone after finishing, while merging the vehicle on road, driver didn't observe the mirror and rear traffic. As third-party Auto driver observed the tanker and stopped his vehicle, thereby incident avoided. Please educate the driver to always use mirror when merging into traffic from standing position. And not to park his vehicle at unsafe parking place (left side of the road).</t>
  </si>
  <si>
    <t>KL07DC0563</t>
  </si>
  <si>
    <t>PRAMOD K S</t>
  </si>
  <si>
    <t>AGP/CNG/AKT/036</t>
  </si>
  <si>
    <t>In a single undivided road, driver overtook the front moving third party open body truck, at the same time one bike rider coming from opposite direction didn't had space, then driver steering suddenly towards left, without completing the overtaking. Third party truck driver slow down then steered to his left and avoided incident. There was no space between two vehicles and MSM rule was not adhered. Kindly educate the driver to follow the MSM rule while overtaking, no overtaking on single lane undivided dual carriage road, judge whether overtaking is required in this condition and not to overtake any vehicle if front on coming traffic is available.</t>
  </si>
  <si>
    <t>Kamal Dev</t>
  </si>
  <si>
    <t>AGP/LNG/163</t>
  </si>
  <si>
    <t>Near miss observed :- @17:07:17hrs, Tanker was running at 2 way lane road and there was gap in median, Few bike riders was trying to cross the intersection as tanker driver seen, then he stopped the vehicle and let them cross (Refer video -1). After few meter one more gap in median was there on the same, one bike rider cross the road suddenly and tanker driver didn't observed and didn't slow down his vehicle. As bike driver was too fast so incident avoided. (Refer video-2)
observation :- At that time 2nd driver was on phone, 1st driver didn't noticed bike rider.
Kindly educate the driver on always to be cautious at gap in median for Haphazard movement and educate codrivers need to assist the main driver at this type of road, traffic condition by giving hand single to the traffic for smooth running and even alert the main driver to stop if required.</t>
  </si>
  <si>
    <t>V. Praveen Kumar</t>
  </si>
  <si>
    <t>KIRAN KUMAR</t>
  </si>
  <si>
    <t>AGP/CNG/BKR/06</t>
  </si>
  <si>
    <t>vehicle was coming out from the safe parking place ( MS Koppal) , when vehicle was merging from service road to main road one bike ride was coming from wrong side.
But due to search of something in the pocket the driver left both hand of the steering and also not looking towards the road. Vehicle start drifting towards the bike rider at the last second driver steer the vehicle towards opposite side and incident avoided.</t>
  </si>
  <si>
    <t>Near-miss observed @07:48:56hrs: A third party passenger car was parked on left side of the road, MCV driver steered the vehicle due to which MCV vehicle was very close to opposite on-coming vehicle and incident was avoided. Kindly instruct the driver to maintain minimum clearance with opposite vehicle on double lane road</t>
  </si>
  <si>
    <t xml:space="preserve">KA01AN2554 </t>
  </si>
  <si>
    <t>K ACHARI</t>
  </si>
  <si>
    <t>AGP/CNG/ANK/5050</t>
  </si>
  <si>
    <t>Driver was driving on a single lane undivided construction road. At around 23:32:19hrs front running 3rd party vehicle Mahindra camper over loaded vehicle driver steered the vehicle towards his right side due to unbalanced condition and stopped, at the same time Innova with siren following our MCV. In this condition MCV steered the vehicle towards left side and negotiating through a less space on mud area part available at road shoulder and crossed the location, then siren Innova car overtook from right side. Luckily incident avoided by the MCV driver. To give way for Innova siren car, need not to cross the unsafe area and provide way but we'll in advance slow down the vehicle and pass the car and after clearance MCV should have moved.</t>
  </si>
  <si>
    <t>Bhanwar Dan</t>
  </si>
  <si>
    <t>RJ19GH7454 - Near-miss cases reported while monitoring Location - BJJ and time 17:22:30 hrs :-
MCV was moving on right side lane inside City location and following Near-miss reported
1) Bike moved from right side to left side in front of our MCV
2) Passenger Auto moved from right side to left side in-front of commercial auto blue colour running infront of our MCV recorded in camera (Not related to MCV but for knowledge purpose)
3) Bike moved from left side to right side at Gap in median and suddenly moved in front of tractor which was taking u-turn, tractor stopped and avoided incident. Recorded in Right side camera.
Kindly share the above Near-miss and educate on Slowdown at intersection, give way for Small vehicle road users (Car, Bike) and to right side traffic vehicles.</t>
  </si>
  <si>
    <t>Indresh Kumar Tiwari</t>
  </si>
  <si>
    <t>AGP/LNG/298</t>
  </si>
  <si>
    <t>TN88J2146 Near-miss case and Good observation noticed while monitoring  18:22:27 hrs :-
Tanker was moving on its left side lane on 4 lane dual carriage divided road and following Near-miss and Good Observation noticed:-
Good Observation: Tanker driver was driving on left side of the lane, speed with respect to road/traffic condition, observing mirrors regularly, steering position 9:3, avoided incident with speeded third party tanker which overtook and came on its lane, also incident avoided with scooty rider which moved suddenly from its location, left side of the tanker.
Near-miss: Tanker driver slow down the vehicle so that incident avoided with scooty and he tried to move suddenly from stationary position.
Kindly share to other drivers on Good observations to adopt while Driving (Expect the Unexpected).</t>
  </si>
  <si>
    <t>Mahesh t</t>
  </si>
  <si>
    <t>AGP/LNG/110</t>
  </si>
  <si>
    <t xml:space="preserve">Tanker was taking right turn for weighment through Gap in median from its lane, at that time one third party truck was standing there, our driver did not judge the turning radius while making the turn and 2nd driver who was observing and guiding the 1st driver, saw the gap was less then informed the 1st driver to stop the vehicle, thereby incident avoided.  </t>
  </si>
  <si>
    <t xml:space="preserve">KA01AM4286 </t>
  </si>
  <si>
    <t>Dileep B J</t>
  </si>
  <si>
    <t>AGP/LNG/301</t>
  </si>
  <si>
    <t>Our Tanker was moving on its left side lane at the same time opposite third-party vehicle car without any intimation crossing the road at the same time bus from opposite right side lane, which is a traffic area and there may be sudden haphazard movements.
But
Second driver is sitting on co-driver seat with on phone in this traffic road condition, without guiding driver.
Train the drivers accordingly to guide the main driver or let them sleep on their berth.</t>
  </si>
  <si>
    <t>IMRAN KHAN</t>
  </si>
  <si>
    <t>AGP/CNG/BKR/19</t>
  </si>
  <si>
    <t>Our MCV was running right side lane, since a car from opposite side tried to cross the road from right side to left side of our vehicle. Luckily our MCV driver was observed and slow down the vehicle suddenly to avoid the collision. Kindly share this Near-miss with all drivers and educate on Slowdown at intersection, give way for Small vehicle road users (Car, Bike) &amp; to right side traffic vehicles, hand position on steering 9:3 and to drive on left side of the lane.</t>
  </si>
  <si>
    <t>KL07DC0913</t>
  </si>
  <si>
    <t>HARI KRISHNAN G</t>
  </si>
  <si>
    <t>AGP/CNG/AKT/083</t>
  </si>
  <si>
    <t>Near-miss observed while monitoring @14:27:40hrs:- A bus coming from opposite lane takes a sudden U turn to the lane of our MCV, driver observed, then slow down the vehicle thereby incident avoided.
Kindly share this incident with other drivers and create awareness accordingly.Near-miss observed while monitoring @14:27:10hrs:- A thrid party near-miss observed and recorded in front camera: A third party bike rider overtook our MCV and moved forward. A thrid party auto took U-turn suddenly but bike rider steered and moved, thereby incident avoided.
Kindly share this incident with drivers.</t>
  </si>
  <si>
    <t>M Sreenivasulu</t>
  </si>
  <si>
    <t>AGP/CNG/NLR/0018</t>
  </si>
  <si>
    <t>Near-miss observed while monitoring at 21:47:23hrs: Our MCV was moving on right lane, city area while negotiating Gap in median, passenger car was taking u-turn, a bike rider moved from left side, came infront of MCV and took u-turn. Near-miss reported since MCV driver did not confirm left side through mirror, with out confirmation, moved the vehicle.
This is 2nd case of type of nera-miss reported again within gap of 2 days.
So, Kindly share this with all drivers and educate on Key 1 (Aim High on Steering) while negotiating Gap in median/ intersection - Follow STOP/SEE/GO, Give way to smaller vehicles, right side moving vehicles, already want to take u-turn etc.,. observe and confirm periodical mirror view, steering position 9:3.
Kindly share the attendance to HO Logistics.</t>
  </si>
  <si>
    <t>RENJITH.S.R</t>
  </si>
  <si>
    <t>AGP/LNG/148</t>
  </si>
  <si>
    <t>Good Observation Tanker Driver following proper MSM rule for overtaking the forward slow-moving vehicle, Tanker Driver giving proper hand signal to the 3rd party auto rear side (which was trying to overtake Tanker), Tanker Driver scanning the mirror regularly, After clearance provided space for overtaking the auto.</t>
  </si>
  <si>
    <t>JOSVIN</t>
  </si>
  <si>
    <t>AGP/CNG/AKT/014</t>
  </si>
  <si>
    <t>Near miss observed during daily monitoring for tipper driver @09:52:42hrs, MCV was running at under construction road in which only one lane is available for traffic flow, Third party tipper driver try to overtake the bus which was coming from opposite direction of MCV and driver ignoring our MCV. Our MCV driver steered the vehicle towards left side and avoided the incident.
Kindly educate all the drivers on always be aware about this type of reckless drivers by adopting expecting the unexpected principle.</t>
  </si>
  <si>
    <t>N.Rajesh Kumar</t>
  </si>
  <si>
    <t>Manikandan.D</t>
  </si>
  <si>
    <t>AGP/CNG/Vellor/012</t>
  </si>
  <si>
    <t>Third party incident recorded through DBMS, @09:27:55hrs:- Our MCV was running on 4 lane dual carriage road left side, at that time one bike rider overtook the MCV through RH side. As there was a speed braker at that place. Bike rider didn't observed that same and jump the speed breaker, As bike rider was at high speed he fell Infront of right side lane of the MCV and not related to our MCV.
Kindly share and educate all the drivers on always be cautious while negotiating with pedestrians, bike rider and always follow the lane Discipline while driving (Left Side Lane).</t>
  </si>
  <si>
    <t>SURENDRA BABU A</t>
  </si>
  <si>
    <t>AGP/CNG/KOL/014</t>
  </si>
  <si>
    <t>Our MCV was running on left lane on two lane dual carriage divided road, third party vehicle running on same lane which was in front of our MCV. Third party vehicle driver was trying to cross the road from left side to right side of road but our driver didn't slowdown the vehicle, steered towards right and moved forward, not allowed him to cross the road. Luckily third party driver stopped the vehicle suddenly to avoid the collision.</t>
  </si>
  <si>
    <t>Shri Ram</t>
  </si>
  <si>
    <t>AGP/CNG/BJJ/109</t>
  </si>
  <si>
    <t>Near-miss observed while monitoring@17:23:54hrs:- Our MCV was running on right side lane, third party vehicle was trying to cross the road from left side to right side which was coming from left side road of our MCV at intersection road, but our driver didn't slowdown the vehicle moving forward without slowing down the speed and not allowed him to cross the road. Luckily third-party driver stopped the vehicle suddenly to avoid the collision.
Kindly share this Near-miss with all drivers and educate on slowing down the vehicle at intersection and give the way for third party vehicle for crossing the road/smaller vehicles, avoid negotiating the intersection without stopping.</t>
  </si>
  <si>
    <t xml:space="preserve">KL41U2912 </t>
  </si>
  <si>
    <t>Near miss observed while monitoring @11:24:30hrs. On a single lane dual carriage undivided road, when our MCV is traveling towards a single lane bridge road. A third party biker also try to move towards the bridge,  simultaneously movement in opposite lane observed but our MCV driver observed and tried to move first instead of giving way to bike rider, started with road rage on rider
Kindly educate the drivers on first slow down, give way to other road users especially to smaller vehicles (Bike rider, Car, LCV) on such road conditions, don't try to move first or negotiate early steering with such road users and do not involve in road rage with others while driving</t>
  </si>
  <si>
    <t>Ramachandran</t>
  </si>
  <si>
    <t>Near miss observed while monitoring @15:59:50hrs. MCV was moving on single lane undivided dual carriage road. A bus was trying to overtake the MCV and simultaneously car coming from opposite direction took left turn and came in front of the MCV. Driver steered the vehicle towards right and avoided the incident. In this case driver didn't apply brake since he know bus is following closely with MCV.
Kindly educate the drivers on first slow down, give way to such urgent fast moving bus, don't try to move along with such bus and driver would have got chance to avoid this Near-miss.</t>
  </si>
  <si>
    <t>Muniyandi M</t>
  </si>
  <si>
    <t>AGP/CNG/KANCHI/092</t>
  </si>
  <si>
    <t>Near-miss observed while monitoring @10:19:00hrs:- Our MCV was travelling on right lane divided road, city traffic area. A TNSRTC bus was exiting from bus stand and tried to merge with the traffic by turning towards left from 3rd lane to 2nd lane and clearance was less with our MCV. MCV driver steered towards the right side near divider and avoided incident. Driver did not slow the down the vehicle well in advance to allow the bus to take turn.
Kindly educate the driver to slow down in this case and not to steered or negotiate with available space.</t>
  </si>
  <si>
    <t>Our MCV was running on right side of divided road with Metro construction, one bus was stopped at left side of road which is in frontside of our MCV. When our MCV moving towards the bus, bus driver was steering to right-side and suddenly took left side but our MCV driver did not stopped to allow bus instead moved with space available and luckily incident avoided. 
Kindly share this Near-miss with all drivers, educate on to stop the vehicle, give way for public or smaller vehicles, less clearance and avoid negotiating to move fast when the public bus is in movement with little clearance for the forward movement.</t>
  </si>
  <si>
    <t>TN13AB7517- Near-miss observed while monitoring @10:19:00hrs:- Our MCV was travelling on right lane divided road, city traffic area. A TNSRTC bus was exiting from bus stand and tried to merge with the traffic by turning towards left from 3rd lane to 2nd lane and clearance was less with our MCV. MCV driver steered towards the right side near divider and avoided incident. Driver did not slow the down the vehicle well in advance to allow the bus to take turn.
Kindly educate the driver to slow down in this case and not to steered or negotiate with available space.</t>
  </si>
  <si>
    <t>Govindan C</t>
  </si>
  <si>
    <t>AGP/CNG/KANCHI/117</t>
  </si>
  <si>
    <t>MCV was entering to DBS, at the same time a bike rider suddenly crossed the MCV. Incident was avoided. MCV driver did not stopped to give way to two wheeler but tried to steer the vehicle</t>
  </si>
  <si>
    <t xml:space="preserve">Arulmani M
 </t>
  </si>
  <si>
    <t>AGP/CNG/KANCHI/113</t>
  </si>
  <si>
    <t>Near-miss observed while monitoring @09:24:23hrs:- MCV was moving on left lane, a third party tanker which was moving on middle lane moved forward very closely with our MCV. MCV driver steering position was 9:3, observed mirror &amp; steered the MCV, applied harsh braking and avoided the incident.
Kindly share the incident with all drivers.</t>
  </si>
  <si>
    <t>Kalaiyarasan A</t>
  </si>
  <si>
    <t>AGP/CNG/VEL/016</t>
  </si>
  <si>
    <t>Vehicle was running on 4 lane divided road with light traffic, One bike rider was running in-front of the vehicle with pillion rider. While running bike got puncher on road and bike rider try to control the vehicle but not able to do the same. Bike pillion rider fell down in-front of our vehicle.  Our driver stopped the vehicle immediately and incident was avoided. This near miss was reported by the driver to LLP.
Kindly share this near-miss and educate all the driver to be cautious while running with Haphazard movement.
And always report any Near-miss if observed or experienced.</t>
  </si>
  <si>
    <t xml:space="preserve">KA01AL9119 </t>
  </si>
  <si>
    <t>Anil Kumar Verma</t>
  </si>
  <si>
    <t>AGP/LNG/294</t>
  </si>
  <si>
    <t>Tanker was negotiating speed reduction barricade which was kept ahead of gap in median on 4 lane divided road. A bike rider crossed gap in median, from right to left suddenly in-front of tanker, our tanker driver observed and slow down thereby avoided incident</t>
  </si>
  <si>
    <t xml:space="preserve">KL41U2898 </t>
  </si>
  <si>
    <t>GOPAN K</t>
  </si>
  <si>
    <t>AGP/CNG/AKT/097</t>
  </si>
  <si>
    <t>MCV was running on construction road single lane undivided dual carriage road diverted to other lane condition While merging to actual lane from right side to left side, a fast moving bus overtook and came infront of the MCV, driver slow down the vehicle and avoided the incident</t>
  </si>
  <si>
    <t>Raja P</t>
  </si>
  <si>
    <t>AGP/LNG/134</t>
  </si>
  <si>
    <t>Near-miss observed while monitoring @08:45:09hrs Tanker KA01AM4880 was moving on single lane undivided road, an open body truck loaded with provisions came from left side opposite in-front of Tanker. Well in-advance tanker driver observed and stopped the vehicle and allowed truck to move, second driver was on phone, started guiding traffic
Kindly share this case with all other drivers</t>
  </si>
  <si>
    <t>KL07DC0562</t>
  </si>
  <si>
    <t xml:space="preserve">SUNIL KUMAR
  </t>
  </si>
  <si>
    <t>AGP/CNG/AKT/060</t>
  </si>
  <si>
    <t>KL07DC0562 - Near-miss observed while monitoring @09:04:12hrs: MCV was moving on single lane narrow road, from left side a school van merged on MCV lane without noticing. MCV driver slow down the vehicle and give way for the same and incident avoided
Kindly share this case with all other drivers.</t>
  </si>
  <si>
    <t>SHEKAR R</t>
  </si>
  <si>
    <t>AGP/CNG/UHS/36</t>
  </si>
  <si>
    <t>Near Miss :- MCV travelling on a single lane dual carriage undivided road, A bus from opposite side overtaking third-party vehicle crossing his lane and came in-front of our MCV. Incident avoided by steering to left by our MCV driver.Kindly educate driver Hazard associated with Single lane driving &amp; driver behaviour and to hold the steering at 9:3.</t>
  </si>
  <si>
    <t>Nand kumar</t>
  </si>
  <si>
    <t>AGP/CNG/KV/003</t>
  </si>
  <si>
    <t>Our MCV was running on right side of the road, divided 4 lane city traffic condition. since there is a third party car was trying to take left side at intersection area which is coming from left side of our vehicle, to avoid the collision our MCV driver applied brake suddenly, took right side instead of slowing down and giving way to the car</t>
  </si>
  <si>
    <t xml:space="preserve">AP39UL3917 </t>
  </si>
  <si>
    <t>Shaik Nazeer Basha  </t>
  </si>
  <si>
    <t>AGP/CNG/NEL /0664</t>
  </si>
  <si>
    <t>MCV was running on Four lane divided dual carriage road, One third party truck was overtaking our vehicle and In-front of our MCV one another third-party truck was running.
While third party truck has completed his overtaking, one car was coming fastly, from rear side of MCV on the same lane of third party truck. And our driver suddenly changed the lane and started overtaking instead of allowing the car to move first. Third-party car applied sudden brake and incident was avoided. There was no necessity of overtaking, which result in overspeed violation also.</t>
  </si>
  <si>
    <t>Babasaheb Koli</t>
  </si>
  <si>
    <t>AGP/CNG/KV/0696</t>
  </si>
  <si>
    <t>Near-miss observed while monitoring @12:26:43hrs: MCV KA01AM6113 was running on single lane dual carriage river bridge, a third-party bike rider with pillion rider overtook the MCV and suddenly took left side then stopped bike. MCV driver observed and slow down, incident was avoided. In the bike riders act they would have fallen down but they balance.
Kindly share this with all drivers and educate on Be vigilant about such vulnerable road users especially on Single lane road, village area, city area, traffic area and adopt DDT - 5 Keys.</t>
  </si>
  <si>
    <t>Near-miss observed while monitoring @12:27:04hrs: KA01AM4880 LNG Tanker running on dual carriage road, middle metro construction work with city traffic condition. A third-party auto from left lane comes in-front of our tanker, Co driver guides the driver in this condition. So that driver avoided incident with the auto by applying a sudden brake. And unsafe act also observed in rear camera not following safe following distance
Kindly share this with all drivers to create awareness and educate on being vigilant on high risk areas (Construction/slowing moving traffic/ haphazard movements of other road users)</t>
  </si>
  <si>
    <t xml:space="preserve">KA01AL6761 </t>
  </si>
  <si>
    <t>Rajendra Pratap Singh</t>
  </si>
  <si>
    <t>AGP/LNG/337</t>
  </si>
  <si>
    <t>Near-miss observed while monitoring @08:00:34hrs: KA01AL6761 LNG Tanker running on dual carriage road, bridge construction work with city traffic condition. 
When our Tanker merges the left lane of the road from a roundabout a third-party bus overtakes our Tanker without giving space our driver observed it and avoided incident with the bus</t>
  </si>
  <si>
    <t>LOHITH K</t>
  </si>
  <si>
    <t>AGP/CNG/UHS/63</t>
  </si>
  <si>
    <t>Driver noticed third-party near-miss and shared: MCV was running on single lane dual carriage undivided road, ghat section, Third party car over took our MCV and while negotiating right curve, car went out of road and get back on to the road. Good observation: MCV driver was under control speed
Kindly share with all drivers: Be cautious about such rash drivers, maintain speed with respect to road condition and below 50KMPH, 9:3 steering position.</t>
  </si>
  <si>
    <t>P . Lakshman Rao</t>
  </si>
  <si>
    <t>AGP/CNG/NLR/11</t>
  </si>
  <si>
    <t>Nearmiss Observed while monitoring - AP39UG3756 (18:31:35) MCV was running on Four lane divided dual carriage road, A biker from left side of our MCV came infront of our MCV with a right indication when approached a road bump suddenly the bike got ignition off, our MCV driver observed it, slows down the vehicle &amp; Incident was avoided. Kindly share this with all drivers. Be cautious about such unexpected act of two wheeler rider.</t>
  </si>
  <si>
    <t>Laxman</t>
  </si>
  <si>
    <t>AGP/CNG/KV/0705</t>
  </si>
  <si>
    <t>Near-miss observed while monitoring @17:59:17hrs: KA01AN9659-Our MCV was running on Left side undivided road, since there is one person have crossed the road from right side to left side of road .Luckily our MCV driver was observed earlier and applied brake suddenly to avoid the accident .so Kindly share this case with all drivers and educate them to be more cautious while driving.</t>
  </si>
  <si>
    <t>INDRESH KUMAR YADAV</t>
  </si>
  <si>
    <t>AGP/LNG/143</t>
  </si>
  <si>
    <t>Near-miss observed while monitoring @13:59:52hrs: GJ16AW0275-Our Tanker was running on Four lane divided dual carriage road, A third party truck from service road enters the NH road through a median gap, forcefully moving the vehicle on the road, not waiting for stop, see go and which made truck to come very close in contact with our tanker, But our driver observed this and stopped the tanker well in advance &amp; gave way for the truck.</t>
  </si>
  <si>
    <t xml:space="preserve">Vijayan G </t>
  </si>
  <si>
    <t>ARUN BABU</t>
  </si>
  <si>
    <t>AGP/CNG/AKT/079</t>
  </si>
  <si>
    <t>Kindly share this with all the drivers and be cautious about such road rage road users/drivers.</t>
  </si>
  <si>
    <t>ABIX S M</t>
  </si>
  <si>
    <t>AGP/CNG/AKT/099</t>
  </si>
  <si>
    <t>Near-miss observed while monitoring:-
At 22:19:55hrs,  -KL41U2769 - Our MCV was running on left side of undivided road where traffic barrier guard was placed in middle of the road, Infront of our MCV one third party car and auto was moving, so that the barrier guard is not visible for MCV driver and speed was more as per the road condition, less safe distance between the auto. Once the car turned left and auto took right, the MCV driver found that barrier guard and took right suddenly to avoid the incident. Kindly share this near miss with all drivers and instruct them to be more cautious, speed limit as per road conditions, scanning mirrors periodically, Safe distance with forward vehicle as per speed and conditions (3 Secs) while driving.</t>
  </si>
  <si>
    <t xml:space="preserve"> AGP/CNG/UHS/36</t>
  </si>
  <si>
    <t>Near-miss observed. Our MCV was travelling on single lane road while overtaking a third party truck. A bike rider from opposite side of the road crossed our MCV with a minimum gap and incident avoided.
Overtaking ahead of curve is not required and speed crossed more than 50KMPH while overtaking.
Kindly educate the drivers not to overtake if speed limit crosses 50KMPH and at Curves/where not feasible.</t>
  </si>
  <si>
    <t>Sunil</t>
  </si>
  <si>
    <t>AGP/CNG/MMC/003</t>
  </si>
  <si>
    <t>Our MCV was running on first lane of divided road, one third party car was running in front of our MCV and trying to move right side of road at Gap in median, at the same time one bike rider was trying to overtake the car meanwhile the car hit the bike and bike lost control and move to right side of the road. Our MCV driver and one bike driver observed early and applied brake suddenly to avoid collision. So kindly share this incident with all drivers not to overtake at intersection and Gap in median, give way for Small vehicle road users.</t>
  </si>
  <si>
    <t>Mishri Lal Gaur</t>
  </si>
  <si>
    <t>AGP/CNG/BJJ/083</t>
  </si>
  <si>
    <t>Near-miss observed while monitoring :-At 14:57:54hrs and 14:58:02hrs -RJ19GH8326 -Our MCV was running on divided road, one auto was trying to cross the road at intersection area which was coming from left side from our vehicle, at the time the auto driver was observed and applied brake suddenly to avoid the incident and given the way for MCV, Further MCV moved forward, a van was parked at left side of road for deboarding and boarding of passengers, while crossing the van, van driver suddenly took right to move forward. Our MCV driver observed and applied brake to avoid collision. Then van took left and given way for MCV. So kindly share this two Near-miss cases with all drivers and educate on Slowdown at intersection, give way for Small vehicle road users (Car, auto &amp; Bike),  to be more vigilant at high risk areas (left side parking for passengers deboarding and boarding/ Construction/slowing moving traffic/ haphazard movements of other road users).</t>
  </si>
  <si>
    <t xml:space="preserve">KL07DC3603 </t>
  </si>
  <si>
    <t>SHAJI P</t>
  </si>
  <si>
    <t>AGP/CNG/AKT/049</t>
  </si>
  <si>
    <t>KL07DC3603 - Near miss observed while monitoring at 16:49:45hrs:- Our MCV was travelling in a single lane undivided road, Suddenly a third-party car from opposite direction to left side of the road from right side and came in front of our MCV to enter into the intersection road. Our MCV driver observed it and applied sudden brake, then incident was avoided.
Kindly share this with all the drivers and educate on such vulnerable road users from whom drivers have to cautious by following all DDT techniques.</t>
  </si>
  <si>
    <t>Rajasekar R</t>
  </si>
  <si>
    <t>AGP/CNG/KANCHI/115</t>
  </si>
  <si>
    <t>Near-miss observed while monitoring @12:21:41hrs:- Our MCV was trying to enter in RHS intersection at the same time one third-party concrete mixer truck was taking left turn and came very closely but incident was avoided since MCV driver steered towards left side
Share this with all drivers and educate to all drivers on slowdown the vehicle while taking left or right turn, give way for upcoming and small vehicle road users</t>
  </si>
  <si>
    <t>Santosh Kumar Mishra</t>
  </si>
  <si>
    <t>AGP/LNG/252</t>
  </si>
  <si>
    <t>while monitoring at 11:44:05hrs:-  -NL01AH0275- Our tanker was running on single  undivided dual carriage road, a car was parked at left side of the road,
 tanker was moving near to the car, the car driver took right suddenly to move forward without seeing the mirror and 
signal then Our tanker driver observed and applied brake suddenly to avoid collision and given way for the car.So Kindly share this with all drivers to create awareness and educate on being more vigilant while driving about such vulnerable or rash driving car drivers.</t>
  </si>
  <si>
    <t>Lokesh S</t>
  </si>
  <si>
    <t>Jibin J</t>
  </si>
  <si>
    <t>AGP/LNG/335</t>
  </si>
  <si>
    <t>Near-miss observed while monitoring @22:06:26hrs: TN87B6483 -Our Tanker was running on divided road, one pedestrian have crossed the road from left side to right side of road. our Tanker driver observed, applied brake and slow down to avoid the accident. So Kindly share this case with all drivers and educate them to be more cautious while driving about such vulnerable road users mainly pedestrian, bike and cars.</t>
  </si>
  <si>
    <t>Rajesha G</t>
  </si>
  <si>
    <t>AGP/CNG/CHK/444</t>
  </si>
  <si>
    <t>Near-miss observed while monitoring @08:56:59hrs:- KA01AM9804-Our MCV was running on undivided single lane road, a third-party passenger car was running on same lane, which was moving in-front of our MCV. There was a road humps to reduce speed, but our driver did not observe in-advance and observed after the car slow down its speed to negotiate, then MCV driver applied brake suddenly to avoid the accident.Kindly share this case with all drivers and educate accordingly to be more cautious while driving and follow the DDT Skills (5Keys).</t>
  </si>
  <si>
    <t xml:space="preserve">KA01AN9656 </t>
  </si>
  <si>
    <t xml:space="preserve">Apparaya
 </t>
  </si>
  <si>
    <t>AGP/CNG/KV/022</t>
  </si>
  <si>
    <t>Our MCV is travelling on single lane road, While crossing the traffic signal suddenly a biker came infront of our MCV, Driver observed and avoided collision but he made road rage which to be avoided while driving</t>
  </si>
  <si>
    <t>RAJANNA E</t>
  </si>
  <si>
    <t>AGP/CNG/UHS/69</t>
  </si>
  <si>
    <t>Nearmiss Observed KA01AM7383 (13:48:18) - Our MCV was travelling on a single-lane undivided road. While nearing a curve, a third-party vehicle in front of our MCV suddenly slowed down due to an ambulance coming from the opposite direction. Our MCV Driver observes it and applied the brake suddenly to avoid a collision with the third-party vehicle. However, Our MCV Driver exhibited road rage, which should be avoided while driving</t>
  </si>
  <si>
    <t>Abu</t>
  </si>
  <si>
    <t>KOVISITHAN</t>
  </si>
  <si>
    <t> AGP/CNG/MMC/036</t>
  </si>
  <si>
    <t>It has been observed that Vehicles are loading without wheel chock at Kalinghanali Station which may resulting in incident(High risk of unman vehicle movement).</t>
  </si>
  <si>
    <t xml:space="preserve">GJ16AW0075 </t>
  </si>
  <si>
    <t>UPENDRA YADAV</t>
  </si>
  <si>
    <t>AGP/LNG/436</t>
  </si>
  <si>
    <t>LNG tanker GJ16AW0075 was traveling on a dual carriageway divided road, a third-party vehicle approached from the right side at an intersection and attempted to cross the road. Upon noticing this, our driver promptly applied the brakes to avoid a potential collision</t>
  </si>
  <si>
    <t xml:space="preserve">KA01AM9662 </t>
  </si>
  <si>
    <t> SIDDAIAH (DT)</t>
  </si>
  <si>
    <t>AGP/CNG/MMC/018</t>
  </si>
  <si>
    <t>The loaded vehicle KA01AM9662 was in enroute from MS Kalinganahalli to Kempegowda SS Mandya. At around 11:07hrs near Chandagalu village, a high-speeded 3rd party truck approached from the opposite direction on single undivided narrow road. To avoid a head-on collision, 3rd party truck driver steered left (blind spot for third-party driver) and as a result of his actions, the third-party truck veered off the road and narrowly avoided rolling over. Our driver handled the situation very effectively and safely.</t>
  </si>
  <si>
    <t>Murugan R</t>
  </si>
  <si>
    <t>AGP/CNG/VEL/038</t>
  </si>
  <si>
    <t>Our MCV was travelling on a single lane two way undivided road. As it was approaching a curve, a third-party vehicle was parked left side of the road, near the bend. MCV was trying to cross the parked vehicle, since another third-party vehicle was also trying to pass from the opposite direction, our MCV driver noticed lack of clearance and applied the brakes suddenly to avoid a collision to allow the oncoming vehicle safely thereby avoiding incident. Kindly share this case with all drivers and educate them to be more cautious on such congested with vulnerable road users such as pedestrian - who ran away from right to left, haphazard movements by bike riders and follow the DDT 5 Key Skills to be defensive driver.</t>
  </si>
  <si>
    <t>Gopi S</t>
  </si>
  <si>
    <t>AGP/CNG/VEL/040</t>
  </si>
  <si>
    <t>TN88K5359-Near-Miss observed with Vellore GA at location: Kalpudur :- Our MCV was travelling on a dual- lane two way divided road. As it was approaching U- Turn and need to u-turn, third-party vehicles was continuously moving on road, near the gap in median. MCV was trying to cross the Road slowly, since another third-party vehicle suddenly pass in-front of our moving MCV, our MCV driver noticed lack of clearance and applied the brakes suddenly to avoid a collision to allow the bikes and car safely thereby avoiding incident and showing road rage with bike rider. Kindly share this case with all drivers and educate them to be more cautious on such congested with vulnerable road users such as haphazard movements by bike riders and sudden movement by car, Avoid road rage, Follow the STOP SEE GO, Right of way, Give way techniques and DDT 5 Key Skills to be defensive driver.</t>
  </si>
  <si>
    <t>GA NAME</t>
  </si>
  <si>
    <t>EMERGENCY NO</t>
  </si>
  <si>
    <t>GA Control Center Contacts</t>
  </si>
  <si>
    <t>8220584222 (R)</t>
  </si>
  <si>
    <t>8925818562 (K)</t>
  </si>
  <si>
    <t xml:space="preserve">8925818561 (B) </t>
  </si>
  <si>
    <t>CVK-C</t>
  </si>
  <si>
    <t>CVK-VK</t>
  </si>
  <si>
    <t>8056847333/9123555943</t>
  </si>
  <si>
    <t>7358550022/8925818560</t>
  </si>
  <si>
    <t>NLR</t>
  </si>
  <si>
    <t>RMN</t>
  </si>
  <si>
    <t>Location</t>
  </si>
  <si>
    <t>Journey Manager</t>
  </si>
  <si>
    <t xml:space="preserve">Mobile </t>
  </si>
  <si>
    <t>Mail</t>
  </si>
  <si>
    <t>Reporting</t>
  </si>
  <si>
    <t>Yogesh</t>
  </si>
  <si>
    <t>7045073822 &amp; 97981 68044 &amp; 88606 76337</t>
  </si>
  <si>
    <t>Yogesh.bharmal@think-gas.com</t>
  </si>
  <si>
    <t>Piyush.patel</t>
  </si>
  <si>
    <t>DS Durgesh</t>
  </si>
  <si>
    <t>Bhagpat</t>
  </si>
  <si>
    <t>Vijay &amp;Akhil</t>
  </si>
  <si>
    <t>7310505464, 9012350009</t>
  </si>
  <si>
    <t>Vijay.kumar@think-gas.com &amp;Akhil.arora@think-gas.com</t>
  </si>
  <si>
    <t>Parush.kohli</t>
  </si>
  <si>
    <t>Vikalp Shukla</t>
  </si>
  <si>
    <t>Beguserai</t>
  </si>
  <si>
    <t>Rakesh</t>
  </si>
  <si>
    <t>Rakesh.singh@think-gas.com</t>
  </si>
  <si>
    <t>Vijay Tiwari</t>
  </si>
  <si>
    <t>Ludhiana</t>
  </si>
  <si>
    <t>Gurinder &amp; Dawinder</t>
  </si>
  <si>
    <t>8699559500 , 8194876146</t>
  </si>
  <si>
    <t>Gurinder.verma@think-gas.com, Dawinder.singh@think-gas.com</t>
  </si>
  <si>
    <t>Money sabharwal</t>
  </si>
  <si>
    <t>Piyush bodhana</t>
  </si>
  <si>
    <t>Gaurav sabhawaral</t>
  </si>
  <si>
    <t>Vineeth kumar</t>
  </si>
  <si>
    <t>Prabhat.Das@think-gas.com   Money.Sabharwal@think-gas.com  Radharaman.gupta@think-gas.com</t>
  </si>
  <si>
    <t>7045073822 &amp; 97981 68044</t>
  </si>
  <si>
    <t>Tushar bari</t>
  </si>
  <si>
    <t>Priyank (Marketing),DS Durgesh</t>
  </si>
  <si>
    <t>Himachal</t>
  </si>
  <si>
    <t>Row Labels</t>
  </si>
  <si>
    <t>Type of Station</t>
  </si>
  <si>
    <t>Gopal Krishna Sarangpur</t>
  </si>
  <si>
    <t>DS</t>
  </si>
  <si>
    <t xml:space="preserve">Hakimi petroleum </t>
  </si>
  <si>
    <t>Volvo Eicher</t>
  </si>
  <si>
    <t>Gokul fuel services</t>
  </si>
  <si>
    <t>Kavi filling station</t>
  </si>
  <si>
    <t>Renuka filling station</t>
  </si>
  <si>
    <t>Jagdish filling Pachore</t>
  </si>
  <si>
    <t>LC Berasia</t>
  </si>
  <si>
    <t>SHREERAM AUTO IOCL</t>
  </si>
  <si>
    <t xml:space="preserve">Venkata sabari </t>
  </si>
  <si>
    <t xml:space="preserve">Sebastian Stalin </t>
  </si>
  <si>
    <t xml:space="preserve">
Ramesh Kumar</t>
  </si>
  <si>
    <t xml:space="preserve"> Gautam Anand (Zonal head)gautam.anand@think-gas.com
Dammu srinu  dammu.srinu@think-gas.com 9866187186
</t>
  </si>
  <si>
    <t>venkata.sabaribabu@think-gas.com</t>
  </si>
  <si>
    <t xml:space="preserve">Thirukumaran NT thirukkumaran.nt@think-gas.com, </t>
  </si>
  <si>
    <t>rameshkumar.m@think-gas.com</t>
  </si>
  <si>
    <t>sebastian.stalin@think-gas.com</t>
  </si>
  <si>
    <t>Gautam Anand (Zonal head)gautam.anand@think-gas.com
Anil Kumar DV (Deputy) anilkumar.dv@think-gas.com</t>
  </si>
  <si>
    <t>Ramit Mann ramit.mann@think-gas.com</t>
  </si>
  <si>
    <t>96883 79258
94883 66039</t>
  </si>
  <si>
    <t>93819 61903</t>
  </si>
  <si>
    <t>O&amp;M Contact No</t>
  </si>
  <si>
    <t>sunil bishnoi sunil.bishnoi@think-gas.com (Deputy)</t>
  </si>
  <si>
    <t>vinod chawada vinod.chawada@think-gas.com
rohit kumar rohit.kumar@think-gas.com (district manager)</t>
  </si>
  <si>
    <t>Amit Kumar Singh,Ramesh Reddy</t>
  </si>
  <si>
    <t>Rahul kumar, ,Ramesh Reddy</t>
  </si>
  <si>
    <t xml:space="preserve">amit.singh@think-gas.com  </t>
  </si>
  <si>
    <t>martinraju@think-gas.com</t>
  </si>
  <si>
    <t xml:space="preserve">dhamodaran.rajendran@think-gas.com  </t>
  </si>
  <si>
    <t xml:space="preserve">
 Jagadish Iranna Purli jagadish.purli@think-gas.com
sanjeevkumar.s@think-gas.com</t>
  </si>
  <si>
    <t>arunkumar.n@think-gas.com</t>
  </si>
  <si>
    <t>Ram - 9700432509</t>
  </si>
  <si>
    <t>Parush.Kohli@think-gas.com</t>
  </si>
  <si>
    <t>Vikalp.Shukla@think-gas.com</t>
  </si>
  <si>
    <t>Tushar.Bari@think-gas.com</t>
  </si>
  <si>
    <t>Durga.Shankar@think-gas.com</t>
  </si>
  <si>
    <t>Prabhakar.Kumar@think-gas.com</t>
  </si>
  <si>
    <t>Vijay.Tiwari@think-gas.com</t>
  </si>
  <si>
    <t>Gaurav.Sabharwal@think-gas.com</t>
  </si>
  <si>
    <t>priyank.jain@think-gas.com</t>
  </si>
  <si>
    <t>Kangara</t>
  </si>
  <si>
    <t>darpan.chaudhary@think-gas.com</t>
  </si>
  <si>
    <t>vishalgiri.goswami@think-gas.com</t>
  </si>
  <si>
    <t>Dawinder Gurinder</t>
  </si>
  <si>
    <t>Rakesh Singh</t>
  </si>
  <si>
    <t>Yogesh Bharmal</t>
  </si>
  <si>
    <t>Manish Kumar Bhathi</t>
  </si>
  <si>
    <t>Harimesh Padha</t>
  </si>
  <si>
    <t>GJ12BX3738</t>
  </si>
  <si>
    <t>Oraya Gas India Pvt.Ltd.</t>
  </si>
  <si>
    <t xml:space="preserve">KA01AM6187 </t>
  </si>
  <si>
    <t xml:space="preserve">MANJUNATHA A N </t>
  </si>
  <si>
    <t>KA01AM6187 - Near-miss observed: HCV 6187 Seat belted driver was moving on 1st lane in city limits with 37KMPH speed, a two-wheeler overtook from left side and came in front of HCV and was behind third-party car. At 4 way junction signal was to stop, car suddenly took left and moved forward, on seeing this maneuver two-wheeler suddenly stopped immediately. HCV driver observed both actions and stopped thereby avoiding incident. Kindly educate the drivers on DDT skills, observe vulnerable road users - two-wheeler and car, to be cautious at junctions to expect such sudden movements.</t>
  </si>
  <si>
    <t>Subash Chand</t>
  </si>
  <si>
    <t>AGP/LNG/286</t>
  </si>
  <si>
    <r>
      <rPr>
        <b/>
        <sz val="11"/>
        <color theme="1"/>
        <rFont val="Calibri"/>
        <family val="2"/>
        <scheme val="minor"/>
      </rPr>
      <t>Mohammed Usman</t>
    </r>
    <r>
      <rPr>
        <sz val="11"/>
        <color theme="1"/>
        <rFont val="Calibri"/>
        <family val="2"/>
        <scheme val="minor"/>
      </rPr>
      <t xml:space="preserve"> , Basvaraj, MEHABOOB</t>
    </r>
  </si>
  <si>
    <r>
      <rPr>
        <b/>
        <sz val="11"/>
        <color theme="1"/>
        <rFont val="Calibri"/>
        <family val="2"/>
        <scheme val="minor"/>
      </rPr>
      <t>Saqlain</t>
    </r>
    <r>
      <rPr>
        <sz val="11"/>
        <color theme="1"/>
        <rFont val="Calibri"/>
        <family val="2"/>
        <scheme val="minor"/>
      </rPr>
      <t>, punith  Swaroop</t>
    </r>
  </si>
  <si>
    <r>
      <rPr>
        <b/>
        <sz val="11"/>
        <color theme="1"/>
        <rFont val="Calibri"/>
        <family val="2"/>
        <scheme val="minor"/>
      </rPr>
      <t xml:space="preserve">
    Sanjan,Sahil</t>
    </r>
    <r>
      <rPr>
        <sz val="11"/>
        <color theme="1"/>
        <rFont val="Calibri"/>
        <family val="2"/>
        <scheme val="minor"/>
      </rPr>
      <t xml:space="preserve">, Arjun   Pushpendra, </t>
    </r>
  </si>
  <si>
    <r>
      <rPr>
        <b/>
        <sz val="11"/>
        <color theme="1"/>
        <rFont val="Calibri"/>
        <family val="2"/>
        <scheme val="minor"/>
      </rPr>
      <t>Mazhar ahmed</t>
    </r>
    <r>
      <rPr>
        <sz val="11"/>
        <color theme="1"/>
        <rFont val="Calibri"/>
        <family val="2"/>
        <scheme val="minor"/>
      </rPr>
      <t>, Sanjay, Mustafa</t>
    </r>
  </si>
  <si>
    <r>
      <rPr>
        <b/>
        <sz val="11"/>
        <color theme="1"/>
        <rFont val="Calibri"/>
        <family val="2"/>
        <scheme val="minor"/>
      </rPr>
      <t>Vijaykumar</t>
    </r>
    <r>
      <rPr>
        <sz val="11"/>
        <color theme="1"/>
        <rFont val="Calibri"/>
        <family val="2"/>
        <scheme val="minor"/>
      </rPr>
      <t xml:space="preserve">   
Arul ,    Ashok   ,  Parthi</t>
    </r>
  </si>
  <si>
    <t>Logesh Babu</t>
  </si>
  <si>
    <r>
      <rPr>
        <b/>
        <sz val="11"/>
        <color theme="1"/>
        <rFont val="Calibri"/>
        <family val="2"/>
        <scheme val="minor"/>
      </rPr>
      <t>Lokesh S</t>
    </r>
    <r>
      <rPr>
        <sz val="11"/>
        <color theme="1"/>
        <rFont val="Calibri"/>
        <family val="2"/>
        <scheme val="minor"/>
      </rPr>
      <t>,                   Yogesh</t>
    </r>
  </si>
  <si>
    <r>
      <rPr>
        <b/>
        <sz val="11"/>
        <color theme="1"/>
        <rFont val="Calibri"/>
        <family val="2"/>
        <scheme val="minor"/>
      </rPr>
      <t>Chaitanya</t>
    </r>
    <r>
      <rPr>
        <sz val="11"/>
        <color theme="1"/>
        <rFont val="Calibri"/>
        <family val="2"/>
        <scheme val="minor"/>
      </rPr>
      <t xml:space="preserve">
Akash
 Shivu</t>
    </r>
  </si>
  <si>
    <r>
      <rPr>
        <b/>
        <sz val="11"/>
        <color theme="1"/>
        <rFont val="Calibri"/>
        <family val="2"/>
        <scheme val="minor"/>
      </rPr>
      <t>Fyzan</t>
    </r>
    <r>
      <rPr>
        <sz val="11"/>
        <color theme="1"/>
        <rFont val="Calibri"/>
        <family val="2"/>
        <scheme val="minor"/>
      </rPr>
      <t xml:space="preserve">
Nivin
</t>
    </r>
    <r>
      <rPr>
        <b/>
        <sz val="11"/>
        <color theme="1"/>
        <rFont val="Calibri"/>
        <family val="2"/>
        <scheme val="minor"/>
      </rPr>
      <t>Haresh</t>
    </r>
  </si>
  <si>
    <r>
      <rPr>
        <b/>
        <sz val="11"/>
        <color theme="1"/>
        <rFont val="Calibri"/>
        <family val="2"/>
        <scheme val="minor"/>
      </rPr>
      <t>Lal.Bahadur</t>
    </r>
    <r>
      <rPr>
        <sz val="11"/>
        <color theme="1"/>
        <rFont val="Calibri"/>
        <family val="2"/>
        <scheme val="minor"/>
      </rPr>
      <t xml:space="preserve">, Gokul,   </t>
    </r>
    <r>
      <rPr>
        <b/>
        <sz val="11"/>
        <color theme="1"/>
        <rFont val="Calibri"/>
        <family val="2"/>
        <scheme val="minor"/>
      </rPr>
      <t>Sathish</t>
    </r>
    <r>
      <rPr>
        <sz val="11"/>
        <color theme="1"/>
        <rFont val="Calibri"/>
        <family val="2"/>
        <scheme val="minor"/>
      </rPr>
      <t xml:space="preserve">,       </t>
    </r>
  </si>
  <si>
    <t>96328 76505  73376 45424</t>
  </si>
  <si>
    <r>
      <rPr>
        <b/>
        <sz val="11"/>
        <color theme="1"/>
        <rFont val="Calibri"/>
        <family val="2"/>
        <scheme val="minor"/>
      </rPr>
      <t xml:space="preserve">Sampath     </t>
    </r>
    <r>
      <rPr>
        <sz val="11"/>
        <color theme="1"/>
        <rFont val="Calibri"/>
        <family val="2"/>
        <scheme val="minor"/>
      </rPr>
      <t xml:space="preserve">    FarKan</t>
    </r>
  </si>
  <si>
    <r>
      <t xml:space="preserve">Ranjit , 
Sagar sunil Rajput, </t>
    </r>
    <r>
      <rPr>
        <sz val="11"/>
        <color theme="1"/>
        <rFont val="Calibri"/>
        <family val="2"/>
        <scheme val="minor"/>
      </rPr>
      <t>Aditya</t>
    </r>
  </si>
  <si>
    <t xml:space="preserve">96338 70757   96333 18880  95399 89393 81296 05611
94477 08550
81398 08602  </t>
  </si>
  <si>
    <t>Logesh.babu@think-gas.com</t>
  </si>
  <si>
    <t xml:space="preserve">c.logistics.tirupathi@think-gas.com </t>
  </si>
  <si>
    <t>c.logistics.ennore@think-gas.com  mohammed.fyzan@think-gas.com             haresh.jk@think-gas.com</t>
  </si>
  <si>
    <t>Driver to wear the uniform in duty hours/ Informed LLP</t>
  </si>
  <si>
    <t>AGP/CNG/UHS/86</t>
  </si>
  <si>
    <t>SHAIRALI MAKANDAR</t>
  </si>
  <si>
    <t xml:space="preserve">Sankar Dhayal Theenathayalan sankar.dhayal@think-gas.com,    Praveen Davis praveen.davis@think-gas.com </t>
  </si>
  <si>
    <t xml:space="preserve"> Deepu John deepu.john@think-gas.com,Vijai Anand  vijai.anand@think-gas.com</t>
  </si>
  <si>
    <t>AGP/CNG/AKT/150</t>
  </si>
  <si>
    <t xml:space="preserve"> PM Alert,LMS Consolidated, Unknown Stoppage &amp; MCV detention</t>
  </si>
  <si>
    <t>VISHNU VIKRAMAN</t>
  </si>
  <si>
    <t xml:space="preserve">ANEESH MON </t>
  </si>
  <si>
    <t>AGP/CNG/AKT/089</t>
  </si>
  <si>
    <t xml:space="preserve">KL41V9675 </t>
  </si>
  <si>
    <t>Near-miss observed while monitoring: KL41V9675 HCV was moving rear side of KLSRTC, a third-party car suddenly took U-turn from left to right side of the road. So our driver slowed down well in advance. But the school bus which was coming in opposite side need to apply sudden brake due to maneuver of Car thereby avoiding incident, Near-miss recorded in front camera. HCV driver stopped very close to allow the school bus to take right turn without clearance. Instruct the HCV driver to maintain clearance and share the near-miss accordingly with all drivers.</t>
  </si>
  <si>
    <t>RJ19GK3123</t>
  </si>
  <si>
    <t>Near-miss observed while monitoring KA01AM9727: Our HCV was moving on its lane,  bike overtook the HCV Vehicle from right side and stopped suddenly to avoid collision with third-party car which turned from right to left side of the road thereby near-miss recorded. our HCV driver Slow down the vehicle well in advance. Bike tried to move but another bike was stopped beside and avoided collision thereby near-miss recorded. Bike vulnerable rash driving was observed and we are sharing the road with such riders and drivers. So be cautious about such road users and avoid road rage, compete with them, just let them go ahead. Share the case with all drivers and record it accordingly.</t>
  </si>
  <si>
    <t xml:space="preserve">KL09AU9736 </t>
  </si>
  <si>
    <t xml:space="preserve"> Near-miss observed while monitoring KL09AU9736 of AKT handled by Mr. Jayakrishnan which is detailed as below:-
HCV was moving on its lane, one truck was moving a left side of same lane followed by another truck overtaking it. Our vehicle was travelling behind them, that truck overtook successfully moved forward. HCV was trying to overtake the same truck but Meanwhile Third-party car overtook our HCV then negotiated crucially with on coming opposite group of vehicles, both have any how negotiated crucially. However, at the same time, HCV was trying to overtake and was behind the forward truck applied sudden brake - which is not necessary but managed by slowing down immediately but not assessed the risk of tailgating.  So thereby resulting in Near-miss due to the danger zone created by HCV but avoided a potential risk of incident which would be resulted in head-on collision with any of the on coming opposite vehicles.
This is similar to UHS vehicle incident which happened on 25th Jan and shared Yesterday in daily meeting by Karthik Sir.
So very important Near-miss to share with all drivers and revert with records accordingly.</t>
  </si>
  <si>
    <t>Whatsapp msg, mail sent / Informed LLP / Mailed to BJJ Team</t>
  </si>
  <si>
    <t>Sankar G</t>
  </si>
  <si>
    <t>AGP/CNG/KANCHI/179</t>
  </si>
  <si>
    <t xml:space="preserve">Dear All, Near-miss observed while monitoring:-@Vijay, @ArulTN13AF3627, was moving on a two lane barricade dual carriage road. A third-party TN government bus which was stopped for passenger deboarding, started to move towards HCV lane. HCV driver tried to steer towards left and finally no space then slow down, thereby avoiding incident.
Kindly share the Near-miss with all drivers and educate them accordingly on Avoid steer rather stop gradually to allow passenger bus or any other road users, be cautious about vulnerable such road users, pedestrians haphazard movements, DDT 5 Keys. </t>
  </si>
  <si>
    <t>AGP/LNG/249</t>
  </si>
  <si>
    <t>Sakthivel</t>
  </si>
  <si>
    <t>AGP/CNG/KANCHI/029</t>
  </si>
  <si>
    <t>Whatsapp msg, mail sent / Informed LLP / Mailed to Ennore Team</t>
  </si>
  <si>
    <t>V Manikandan</t>
  </si>
  <si>
    <t>Balak Ram Yadav</t>
  </si>
  <si>
    <t>AGP/LNG/295</t>
  </si>
  <si>
    <t>Near-Miss Observed While Monitoring KA01AM9726:-
Our HCV was moving normally in the right-side lane. The vehicle approached a curved section of the road and was proceeding to turn from the right side towards the left side as per the road alignment. At that moment, a third-party two-wheeler, which was waiting on the left side for road crossing, suddenly attempted to cross the road from left to right. The location was a designated road crossing area; however, there was no traffic signal installed at that point. The two-wheeler rider crossed abruptly without ensuring the road was clear, creating a sudden risk situation in front of our HCV.
Our HCV driver, who was alert and attentive, immediately noticed the unexpected movement. He promptly reduced speed, maintained vehicle control, assessed the risk, and took defensive action to avoid a collision.
Kindly share the incident with all drivers to create awareness.</t>
  </si>
  <si>
    <t>AGP/CNG/UHS/104</t>
  </si>
  <si>
    <t>HALESHAPPA R MEDLER</t>
  </si>
  <si>
    <t>Near-miss observed while monitoring: KL41U2898 our HCV vehicle was moving normally in the left-side lane. At that time third-party car was also moving ahead of our vehicle in the same lane. Suddenly, a third-party auto attempted to cross the road unexpectedly. The car moving in front managed to safely cross the auto and proceeded ahead.Our HCV driver, who was following behind, immediately controlled the speed, reduced it gradually, stop the vehicle well in advance thereby third-party Near-miss recorded in front camera.
Kindly share the incident with all drivers to be cautious about such vulnerable road users Especially auto, pedestrians, two wheelers and four wheelers.</t>
  </si>
  <si>
    <t>AJEESH S</t>
  </si>
  <si>
    <t>AGP/CNG/AKT/053</t>
  </si>
  <si>
    <t>TN12BR3283</t>
  </si>
  <si>
    <t>Whatsapp msg, mail sent / Informed LLP / Mailed to Bhopal Team</t>
  </si>
  <si>
    <t>Near-miss observed while monitoring: KL41V9887 Our HCV vehicle was moving normally on a single-lane stretch due to ongoing road work on the adjacent side traffic flow was heavy. A third-party car was moving ahead of our HCV, and behind our vehicle, a two-wheeler along with other vehicles were following. At that time, a third-party car which was stationary on the left side suddenly moved towards the right without indication to merge with traafic. our HCV driver immediately applied brakes and controlled the vehicle. Due to this sudden braking incident was avoided and near miss reported with two wheeler and third party car.</t>
  </si>
  <si>
    <t>KA01AS2378</t>
  </si>
  <si>
    <t>TN88K2446</t>
  </si>
  <si>
    <t>Martin , Mohan , Prabakaran</t>
  </si>
  <si>
    <t>rmd.logistics@think-gas.com ,  c.mdpe1.ramnad@think-gas.com, c.onmramnad1@think-gas.com, prabakaran.t@think-gas.com</t>
  </si>
  <si>
    <t>85519 86277,  91597 34678, 63699 51854</t>
  </si>
  <si>
    <t>MP09AV9275</t>
  </si>
  <si>
    <t>KA01AS2382</t>
  </si>
  <si>
    <t>MP09AV9675</t>
  </si>
  <si>
    <t>TN88K2740</t>
  </si>
  <si>
    <t>NL01AH4140</t>
  </si>
  <si>
    <t>AGP/CNG/BJJ/175</t>
  </si>
  <si>
    <t>Cabin camera view need to change / Informed LLP</t>
  </si>
  <si>
    <t>AGP/CNG/KANCHI/140</t>
  </si>
  <si>
    <t>Sivanesan</t>
  </si>
  <si>
    <t>Near-miss observed while monitoring TN88J3746 Our HCV was moving normally in the left-side lane. At that time,  suddenly third party vehicle crossed from the left inside road to the right side of the road. Our vehicle driver immediately slow down, maintaining proper control and avoiding  incident thereby near-miss recorded. Kindly share with all the drivers and record accordingly.</t>
  </si>
  <si>
    <t>NL01AH9067</t>
  </si>
  <si>
    <t>01.03.2026</t>
  </si>
  <si>
    <t>Magna Ram</t>
  </si>
  <si>
    <t>Rakesh Ahirwar  </t>
  </si>
  <si>
    <t>TG/CNG/Bhopal/069</t>
  </si>
  <si>
    <t>LH  side camera angle need to change / Informed LLP</t>
  </si>
  <si>
    <t xml:space="preserve">Jai Prakash Tiwari </t>
  </si>
  <si>
    <t> AGP/CNG/KANCHI/152</t>
  </si>
  <si>
    <t>Cabin &amp; LH side camera view need to change and Driver to wear the uniform in duty hours</t>
  </si>
  <si>
    <t>MP04YT8793</t>
  </si>
  <si>
    <t>Praveen Kumar V</t>
  </si>
  <si>
    <t>Whatsapp msg, mail sent / Informed LLP / Mailed to Dahej Team</t>
  </si>
  <si>
    <t xml:space="preserve">Clean Green Fuel and Logistic </t>
  </si>
  <si>
    <t>Expo Trans India Limited</t>
  </si>
  <si>
    <t>NL01AJ0603</t>
  </si>
  <si>
    <t>NL01AH9066</t>
  </si>
  <si>
    <t>NL01AK3331</t>
  </si>
  <si>
    <t>RJ19GK2239</t>
  </si>
  <si>
    <t>RJ19GK2430</t>
  </si>
  <si>
    <t>RJ19GK2362</t>
  </si>
  <si>
    <t>KA01AS2379</t>
  </si>
  <si>
    <t>UP53GT7634</t>
  </si>
  <si>
    <t>KA01AS2383</t>
  </si>
  <si>
    <t>RJ19GK2240</t>
  </si>
  <si>
    <t>MP09AV9375</t>
  </si>
  <si>
    <t>MP09AV9475</t>
  </si>
  <si>
    <t>MP09AV9075</t>
  </si>
  <si>
    <t>MP04YT8727</t>
  </si>
  <si>
    <t>MP04YT8607</t>
  </si>
  <si>
    <t>MP04YT8701</t>
  </si>
  <si>
    <t>MP04YT8665</t>
  </si>
  <si>
    <t>MP04YT8747</t>
  </si>
  <si>
    <t>MP09AV9875</t>
  </si>
  <si>
    <t>MP04YT8649</t>
  </si>
  <si>
    <t>MP04YT8662</t>
  </si>
  <si>
    <t>MP09AV9175</t>
  </si>
  <si>
    <t>MP09AV9775</t>
  </si>
  <si>
    <t>MP04YT8603</t>
  </si>
  <si>
    <t>MP04YT8659</t>
  </si>
  <si>
    <t>PB02FE0527</t>
  </si>
  <si>
    <t>PB02FE0539</t>
  </si>
  <si>
    <t>PB02FE0537</t>
  </si>
  <si>
    <t>PB02FE0519</t>
  </si>
  <si>
    <t>PB02FE0529</t>
  </si>
  <si>
    <t>RJ19GK3120</t>
  </si>
  <si>
    <t>RJ19GK3124</t>
  </si>
  <si>
    <t>RJ19GK3122</t>
  </si>
  <si>
    <t>TN88K2750</t>
  </si>
  <si>
    <t>TN14AS3397</t>
  </si>
  <si>
    <t>TN88J9345</t>
  </si>
  <si>
    <t>MH09FL8805</t>
  </si>
  <si>
    <t>TN88M7807</t>
  </si>
  <si>
    <t>TN12BR3291</t>
  </si>
  <si>
    <t>KL41W9026</t>
  </si>
  <si>
    <t>PB02FG4116</t>
  </si>
  <si>
    <t>TN12BR3274</t>
  </si>
  <si>
    <t>PB02FG4115</t>
  </si>
  <si>
    <t>RJ14GN9753</t>
  </si>
  <si>
    <t>Fatigue</t>
  </si>
  <si>
    <t>Relayed</t>
  </si>
  <si>
    <t>Yawning</t>
  </si>
  <si>
    <t>Camera Anomaly</t>
  </si>
  <si>
    <t>Night Curfew</t>
  </si>
  <si>
    <t>Nearmiss</t>
  </si>
  <si>
    <t>Feeling Tired</t>
  </si>
  <si>
    <t>Good Observation</t>
  </si>
  <si>
    <t>Continuous driving</t>
  </si>
  <si>
    <t>Yuvaraju G</t>
  </si>
  <si>
    <t>AGP/CNG/CTR/074</t>
  </si>
  <si>
    <t>Driver is keeping the mobile in his pocket / Informed LLP</t>
  </si>
  <si>
    <t>TG/CNG/Bhopal/024</t>
  </si>
  <si>
    <t>Sundar Lowanshi</t>
  </si>
  <si>
    <t>AGP/CNG/KANCHI/229</t>
  </si>
  <si>
    <t>Muthukaruppannan G</t>
  </si>
  <si>
    <t>PREMCHAND B N</t>
  </si>
  <si>
    <t>AGP/CNG/KOL/029</t>
  </si>
  <si>
    <t>AI &amp; Front camera angle need to change / Informed LLP</t>
  </si>
  <si>
    <t>Periyasami</t>
  </si>
  <si>
    <t>AGP/CNG/KANCHI/081</t>
  </si>
  <si>
    <t>AI &amp; Rear side camera angle need to change / Informed LLP</t>
  </si>
  <si>
    <t> Selvaraj V</t>
  </si>
  <si>
    <t>AGP/CNG/KANCHI/089</t>
  </si>
  <si>
    <t>Driver disconnect the charging cable in mobile and then use of it /Informed LLP</t>
  </si>
  <si>
    <t>AGP/LNG/588</t>
  </si>
  <si>
    <t>Pradeep Kumar Singh</t>
  </si>
  <si>
    <t>AI &amp; RH &amp; LH camera angle need to change / Informed LLP</t>
  </si>
  <si>
    <t>AGP/LNG/001</t>
  </si>
  <si>
    <t>Selvam J</t>
  </si>
  <si>
    <t>Jai Prakash Tiwari</t>
  </si>
  <si>
    <t>Weather &amp; Violation Report, MCV Detention &amp; Unknown stoppage</t>
  </si>
  <si>
    <t>Driver is keeping the mobile in his pocket, Driver to wear the uniform in duty hours, AI,RH &amp; LH camera angle need to change, Cabin,Front &amp; Rear side camera angle need to change &amp; Driver disconnect the charging cable in mobile and then use of it</t>
  </si>
  <si>
    <t>Whatsapp msg, mail sent / Informed LLP / Mailed to Jalandhar Team</t>
  </si>
  <si>
    <t>No seat belt malfunctioning / Informed LLP</t>
  </si>
  <si>
    <t>Driver to rectify the Cabin camera View / Informed LLP</t>
  </si>
  <si>
    <t>Driver to remove the object from cabin camera / Informed LLP</t>
  </si>
  <si>
    <t>Driver why the vehicle has parked at near by  roadside / Informed LLP</t>
  </si>
  <si>
    <t>TG/CNG/Ludhiana/093</t>
  </si>
  <si>
    <t>lovepreet singh</t>
  </si>
  <si>
    <t> Sourabh Bhargav</t>
  </si>
  <si>
    <t>TG/CNG/Bhopal/094</t>
  </si>
  <si>
    <t> AGP/LNG/565</t>
  </si>
  <si>
    <t>SALMAN</t>
  </si>
  <si>
    <t> Sakthivel</t>
  </si>
  <si>
    <t>AGP/LNG/555</t>
  </si>
  <si>
    <t>ANOOP M.U</t>
  </si>
  <si>
    <t>AGP/LNG/170</t>
  </si>
  <si>
    <t>Prabakaran S</t>
  </si>
  <si>
    <t>Jalandar violation mail pending</t>
  </si>
  <si>
    <t>Violation, weather &amp; Curfew status Report</t>
  </si>
  <si>
    <t>C (22:00 to 6:00 hrs)</t>
  </si>
  <si>
    <t>No seat belt malfunctioning, Driver to wear the uniform in duty hours, Driver to rectify the Cabin camera View, Driver to remove the object from cabin camera,Driver why the vehicle has parked at near by  roadside .</t>
  </si>
  <si>
    <t>Vehicle has parked at roadside/ Informed LLP</t>
  </si>
  <si>
    <t>Cabin camera angle need to change / Informed LLP</t>
  </si>
  <si>
    <t>Remove the object from Cabin camera/ Informed LLP</t>
  </si>
  <si>
    <t>Whatsapp msg, mail sent / Informed LLP / Mailed to AKT Team</t>
  </si>
  <si>
    <t>Whatsapp msg, mail sent / Informed LLP / Mailed to Kolar Team</t>
  </si>
  <si>
    <t>DHAREPPA</t>
  </si>
  <si>
    <t>AGP/CNG/CHK/493</t>
  </si>
  <si>
    <t>Bhagirath</t>
  </si>
  <si>
    <t>TG/CNG/BJJ/232</t>
  </si>
  <si>
    <t>Jita Yadav</t>
  </si>
  <si>
    <t>AGP/LNG/284</t>
  </si>
  <si>
    <t xml:space="preserve">PREMCHAND B N </t>
  </si>
  <si>
    <t xml:space="preserve">Magna Ram </t>
  </si>
  <si>
    <t xml:space="preserve">ANEESH P J </t>
  </si>
  <si>
    <t>AGP/CNG/AKT/059</t>
  </si>
  <si>
    <t>02.03.2026</t>
  </si>
  <si>
    <t>Remove the object from Cabin camera, Cabin camera angle need to change and Vehicle has parked at roadside</t>
  </si>
  <si>
    <t xml:space="preserve">ANOOP M.U </t>
  </si>
  <si>
    <t xml:space="preserve">AJAY KUMAR </t>
  </si>
  <si>
    <t>AGP/LNG/581</t>
  </si>
  <si>
    <t>Whatsapp msg, mail sent / Informed LLP / Mailed to Kochi Team</t>
  </si>
  <si>
    <t>LH &amp; Cabin camera angle need to change / Informed LLP</t>
  </si>
  <si>
    <t>LH &amp; AI camera angle need to change / Informed LLP</t>
  </si>
  <si>
    <t>Driver don't  use bluetooth headset while driving/ Informed LLP</t>
  </si>
  <si>
    <t>Driver doing single hand driving continuously / Informed LLP</t>
  </si>
  <si>
    <t>RH  side camera angle need to change / Informed LLP</t>
  </si>
  <si>
    <t> AGP/LNG/001</t>
  </si>
  <si>
    <t> AGP/LNG/533</t>
  </si>
  <si>
    <t>BABLOO YADAV</t>
  </si>
  <si>
    <t> AGP/LNG/070</t>
  </si>
  <si>
    <t>Balaji R</t>
  </si>
  <si>
    <t> AGP/CNG/CHK/493</t>
  </si>
  <si>
    <t>AGP/CNG/KANCHI/201</t>
  </si>
  <si>
    <t>Manikandan V</t>
  </si>
  <si>
    <t>TG/CNG/Ludhiana/112</t>
  </si>
  <si>
    <t> Pawan Kumar 3481</t>
  </si>
  <si>
    <t>Driver do not drink water while driving / Informed LLP</t>
  </si>
  <si>
    <t xml:space="preserve"> AI camera angle need to change / Informed LLP</t>
  </si>
  <si>
    <t>AGP/LNG/412</t>
  </si>
  <si>
    <t>Dennison Stanley</t>
  </si>
  <si>
    <t>B(14:00 to 22:00 hrs)</t>
  </si>
  <si>
    <t>LH &amp; Cabin camera angle need to change,LH &amp; AI camera angle need to change,Driver don't  use bluetooth headset while driving,Driver doing single hand driving continuously ,Cabin camera angle need to change , Driver do not drink water while driving, Vehicle has parked at roadside, AI camera angle need to change</t>
  </si>
  <si>
    <t>AGP/LNG/583</t>
  </si>
  <si>
    <t>MOHAMMAD ASIF</t>
  </si>
  <si>
    <t>Bhuvan VK</t>
  </si>
  <si>
    <t>Kesavan R</t>
  </si>
  <si>
    <t>AGP/CNG/VEL/024</t>
  </si>
  <si>
    <t>Driver he is fine or not  / Informed LLP</t>
  </si>
  <si>
    <t>Sujit</t>
  </si>
  <si>
    <t>ID not created</t>
  </si>
  <si>
    <t>SARATH S</t>
  </si>
  <si>
    <t>AGP/CNG/AKT/102</t>
  </si>
  <si>
    <t>SHIV NARAYAN JAISWAL</t>
  </si>
  <si>
    <t>AGP/LNG/594</t>
  </si>
  <si>
    <t>AI &amp; LH camera angle need to change / Informed LLP</t>
  </si>
  <si>
    <t>PREM SINGH</t>
  </si>
  <si>
    <t>AGP/LNG/543</t>
  </si>
  <si>
    <t>Driver doing single hand driving continuously  / Informed LLP</t>
  </si>
  <si>
    <t>AJITH KUMAR S</t>
  </si>
  <si>
    <t>AGP/CNG/AKT/152</t>
  </si>
  <si>
    <t>Unknown person in Co Driver seat / Informed LLP</t>
  </si>
  <si>
    <t>Driver to remove the object from cabin camera, LH &amp; AI camera angle need to change, Driver doing single hand driving continuously, Unknown person in Co Driver seat</t>
  </si>
  <si>
    <t>Whatsapp msg, mail sent / Informed LLP / Mailed to KNCP Team</t>
  </si>
  <si>
    <t>Vedhamani</t>
  </si>
  <si>
    <t>AGP/CNG/KANCHI/227</t>
  </si>
  <si>
    <t>AGP/CNG/BJJ/033</t>
  </si>
  <si>
    <t>Sahdev</t>
  </si>
  <si>
    <t>TG/CNG/Bhopal/006</t>
  </si>
  <si>
    <t>Lal Singh Meena</t>
  </si>
  <si>
    <t> Manikandan V</t>
  </si>
  <si>
    <t>AI &amp; LH camera angle need to change, Vehicle has parked at roadside, Driver to wear the uniform in duty hours, AI &amp; Front camera angle need to change,Cabin camera angle need to change .</t>
  </si>
  <si>
    <t>Whatsapp msg, mail sent / Informed LLP / Mailed to KOL Team</t>
  </si>
  <si>
    <t>TG/CNG/Bhopal/029</t>
  </si>
  <si>
    <t>Dharmendra Gujrati</t>
  </si>
  <si>
    <t>TG/CNG/Bhopal/043</t>
  </si>
  <si>
    <t>Kanti Prasad</t>
  </si>
  <si>
    <t>AGP/CNG/AKT/136</t>
  </si>
  <si>
    <t>Arjun M</t>
  </si>
  <si>
    <t>AGP/CNG/CTR/59</t>
  </si>
  <si>
    <t>Mahesh Holeyannaanavar</t>
  </si>
  <si>
    <t>FAZLOOR RAHMAN S</t>
  </si>
  <si>
    <t>AGP/CNG/VEL/042</t>
  </si>
  <si>
    <t xml:space="preserve">    Dhamodaran R                  
Akshith S.R. Priyabrata Datta </t>
  </si>
  <si>
    <t xml:space="preserve">Akshith S.R. </t>
  </si>
  <si>
    <t>Gautam Anand gautam.anand@think-gas.com(Zonal head), (dist manager</t>
  </si>
  <si>
    <t xml:space="preserve">    Dhamodaran R Akshith S.R.                  
</t>
  </si>
  <si>
    <t xml:space="preserve">
c.logistics.akt1@think-gas.com                 jayakrishnan.ng@think-gas.com
c.logistics.akt@think-gas.com</t>
  </si>
  <si>
    <r>
      <rPr>
        <b/>
        <sz val="11"/>
        <color theme="1"/>
        <rFont val="Calibri"/>
        <family val="2"/>
        <scheme val="minor"/>
      </rPr>
      <t>Jayakrishann</t>
    </r>
    <r>
      <rPr>
        <sz val="11"/>
        <color theme="1"/>
        <rFont val="Calibri"/>
        <family val="2"/>
        <scheme val="minor"/>
      </rPr>
      <t xml:space="preserve">,
Gowtham, shambu </t>
    </r>
  </si>
  <si>
    <t>LH Camera angle need to change / Informed LLP</t>
  </si>
  <si>
    <t>Selvaraj V</t>
  </si>
  <si>
    <t>03.03.2026</t>
  </si>
  <si>
    <t>Driver to wear the uniform in duty hours / Informed LLP</t>
  </si>
  <si>
    <t>Cabin camera view need to change, Driver to wear the uniform in duty hours, LH &amp; Cabin camera angle need to change, Driver do not drink water while driving, Driver disconnect the charging cable in mobile and then use of it &amp; Driver doing distraction activities while driving.</t>
  </si>
  <si>
    <t>Driver doing distraction activities while driving / Informed LLP</t>
  </si>
  <si>
    <t>Nabi Rasool Malyam</t>
  </si>
  <si>
    <t>AGP/CNG/ANK/5083</t>
  </si>
  <si>
    <t>Dharmendra Kumar</t>
  </si>
  <si>
    <t> AGP/LNG/256</t>
  </si>
  <si>
    <t> Maheboob</t>
  </si>
  <si>
    <t>AGP/CNG/BKR/58</t>
  </si>
  <si>
    <t>ARVIND KUMAR GAUTAM</t>
  </si>
  <si>
    <t>AGP/LNG/314</t>
  </si>
  <si>
    <t>ATHUL S</t>
  </si>
  <si>
    <t>AGP/CNG/AKT/154</t>
  </si>
  <si>
    <t>Ramesh chinraj</t>
  </si>
  <si>
    <t> AGP/LNG/258</t>
  </si>
  <si>
    <t>Driver to remove the object from cabin camera, Unknown person in Co Driver seat, Driver he is fine or not, Driver do not drink water while driving</t>
  </si>
  <si>
    <t>Rear Camera angle need to change / Informed LLP</t>
  </si>
  <si>
    <t>AI  camera angle need to change / Informed LLP</t>
  </si>
  <si>
    <t>AGP/LNG/212</t>
  </si>
  <si>
    <t>Chandra Bhuvan Yadav</t>
  </si>
  <si>
    <t>AGP/CNG/KANCHI/215</t>
  </si>
  <si>
    <t>M Arul</t>
  </si>
  <si>
    <t>TG/CNG/Ludhiana/098</t>
  </si>
  <si>
    <t>Gurwinder Singh 2254</t>
  </si>
  <si>
    <t>04.03.2026</t>
  </si>
  <si>
    <t>LH camera angle need to change, Vehicle has parked at roadside, Driver to wear the uniform in duty hours, AI &amp; Front camera angle need to change,Rear camera angle need to change .</t>
  </si>
  <si>
    <t>Dhanasekaran</t>
  </si>
  <si>
    <t>AGP/CNG/KANCHI/135</t>
  </si>
  <si>
    <t>Moidin Basha K</t>
  </si>
  <si>
    <t>AGP/CNG/KANCHI/222</t>
  </si>
  <si>
    <t>AGP/CNG/ANK/5099</t>
  </si>
  <si>
    <t>Raghavendra V</t>
  </si>
  <si>
    <t>TG/CNG/BJJ/230</t>
  </si>
  <si>
    <t>Dharmendra</t>
  </si>
  <si>
    <t>AGP/LNG/560</t>
  </si>
  <si>
    <t>Awadhesh Yadav</t>
  </si>
  <si>
    <t>Whatsapp msg, mail sent / Informed LLP / Mailed to ANK Team</t>
  </si>
  <si>
    <t>TG/CNG/BJJ/217</t>
  </si>
  <si>
    <t>Sohan lal</t>
  </si>
  <si>
    <t>Sreelaal</t>
  </si>
  <si>
    <t>Id not created</t>
  </si>
  <si>
    <t>RH side camera angle need to change / Informed LLP</t>
  </si>
  <si>
    <t>LH &amp; Cabin camera angle need to change, RH side camera angle need to change, Driver to wear the uniform in duty hours, Driver disconnect the charging cable in mobile and then use of it &amp; Driver is keeping the mobile in his pocket</t>
  </si>
  <si>
    <t> Karuppasamy P</t>
  </si>
  <si>
    <t>AGP/CNG/KANCHI/195</t>
  </si>
  <si>
    <t>P Poorna Chandra</t>
  </si>
  <si>
    <t>AGP/CNG/CTR/0052</t>
  </si>
  <si>
    <t>Saravanakumar C</t>
  </si>
  <si>
    <t>AGP/CNG/VEL/037</t>
  </si>
  <si>
    <t>AI  camera angle need to change &amp; Driver is keeping the mobile in his pocket  / Informed LLP</t>
  </si>
  <si>
    <t>Sridhar P</t>
  </si>
  <si>
    <t>AGP/CNG/KANCHI/224</t>
  </si>
  <si>
    <t> ANOOP M.U</t>
  </si>
  <si>
    <t>Driver to remove the object from Rear camera / Informed LLP</t>
  </si>
  <si>
    <t>Manikandan J S</t>
  </si>
  <si>
    <t>AGP/CNG/KANCHI/218</t>
  </si>
  <si>
    <t>RH Camera angle need to change / Informed LLP</t>
  </si>
  <si>
    <t>Driver to remove the object from Rear camera, Unknown person in Co Driver seat, Driver he is fine or not, Driver do not drink water while driving, Driver is keeping the mobile in his pocket, AI &amp;RH camera angle need to change.</t>
  </si>
  <si>
    <t>AGP/LNG/500</t>
  </si>
  <si>
    <t>GAURAV KUMAR</t>
  </si>
  <si>
    <t>Pawan Kumar 3481</t>
  </si>
  <si>
    <t>AGP/LNG/088</t>
  </si>
  <si>
    <t>Manoj.D</t>
  </si>
  <si>
    <t>AGP/LNG/497</t>
  </si>
  <si>
    <t>AKHIL J V</t>
  </si>
  <si>
    <t>AGP/CNG/CHK/485</t>
  </si>
  <si>
    <t>A M SURESH</t>
  </si>
  <si>
    <t>AGP/CNG/BJJ/138</t>
  </si>
  <si>
    <t>Jagdish Ram</t>
  </si>
  <si>
    <t>AGP/LNG/602</t>
  </si>
  <si>
    <t>JERIN JOSEPH</t>
  </si>
  <si>
    <t>Whatsapp msg, mail sent / Informed LLP / Mailed to CHK Team</t>
  </si>
  <si>
    <t>Remove the object from RH &amp; Back camera/ Informed LLP</t>
  </si>
  <si>
    <t>Remove the object from RH camera/ Informed LLP</t>
  </si>
  <si>
    <t>AGP/CNG/VEL/032</t>
  </si>
  <si>
    <t>Gopi P</t>
  </si>
  <si>
    <t>Whatsapp msg, mail sent / Informed LLP / Mailed to NLR Team</t>
  </si>
  <si>
    <t>05.03.2026</t>
  </si>
  <si>
    <t>4522-Violation mail pending</t>
  </si>
  <si>
    <t>LH &amp; Cabin camera angle need to change, AI &amp; Front camera angle need to change, Remove the object from RH &amp; Back camera, Driver to wear the uniform in duty hours, Driver disconnect the charging cable in mobile and then use of it &amp; Driver do not drink water while driving</t>
  </si>
  <si>
    <t>SK MOWLAVALLI</t>
  </si>
  <si>
    <t>AGP/CNG/NLR/0026</t>
  </si>
  <si>
    <t>AGP/CNG/ANK/5095</t>
  </si>
  <si>
    <t>Venkata moorthy vulasula</t>
  </si>
  <si>
    <t>MANJAPPA B</t>
  </si>
  <si>
    <t>AGP/CNG/UHS/115</t>
  </si>
  <si>
    <t>Vinod Kumar Yadav 054</t>
  </si>
  <si>
    <t>AGP/LNG/054</t>
  </si>
  <si>
    <t>SUJIT PAL</t>
  </si>
  <si>
    <t>AGP/LNG/198</t>
  </si>
  <si>
    <t>Driver doing single hand driving continuously &amp; Driver do not drink water while driving / Informed LLP</t>
  </si>
  <si>
    <t> Vinod Pal</t>
  </si>
  <si>
    <t>AGP/LNG/510</t>
  </si>
  <si>
    <t>Adhimoolam G</t>
  </si>
  <si>
    <t>AGP/CNG/KANCHI/200</t>
  </si>
  <si>
    <t>Bharathuvaraj</t>
  </si>
  <si>
    <t>AGP/CNG/KANCHI/207</t>
  </si>
  <si>
    <t> Basant Kewat</t>
  </si>
  <si>
    <t>AGP/LNG/055</t>
  </si>
  <si>
    <t>ASHISH KUMAR</t>
  </si>
  <si>
    <t>AGP/LNG/567</t>
  </si>
  <si>
    <t> Hanuman Ram-III</t>
  </si>
  <si>
    <t>AGP/CNG/BJJ/069</t>
  </si>
  <si>
    <t>KARAM SINGH YADAV</t>
  </si>
  <si>
    <t>AGP/LNG/590</t>
  </si>
  <si>
    <t> Akash</t>
  </si>
  <si>
    <t>TG/CNG/Bhopal/109</t>
  </si>
  <si>
    <t>Cabin camera angle need to change,  Driver to wear the uniform in duty hours, Driver he is fine or not, Driver do not drink water while driving &amp; Unknown person in Co Driver seat</t>
  </si>
  <si>
    <t xml:space="preserve">MOHAMMAD ASIF </t>
  </si>
  <si>
    <t>AGP/LNG/070</t>
  </si>
  <si>
    <t>SUKHJINDER SINGH5638</t>
  </si>
  <si>
    <t>TG/CNG/Ludhiana/066</t>
  </si>
  <si>
    <t> Sandeep Kumar Sharma</t>
  </si>
  <si>
    <t>AGP/LNG/231</t>
  </si>
  <si>
    <t>VIJESH D</t>
  </si>
  <si>
    <t>AGP/CNG/AKT/133</t>
  </si>
  <si>
    <t>Driver do not drink water while driving, Driver fatigue but vehicle stoped in DBS and Cabin camera angle need to change</t>
  </si>
  <si>
    <t>Driver fatigue but vehicle stoped in DBS/ Informed LLP</t>
  </si>
  <si>
    <t>RAVI KUMAR VISWAKARMA</t>
  </si>
  <si>
    <t>AGP/LNG/552</t>
  </si>
  <si>
    <t>Remove the object from Back camera/ Informed LLP</t>
  </si>
  <si>
    <t>Whatsapp msg, mail sent / Informed LLP / Mailed to MMC Team</t>
  </si>
  <si>
    <t>TG/CNG/Ludhiana/107</t>
  </si>
  <si>
    <t>Niranjan Singh 2658</t>
  </si>
  <si>
    <t>AGP/CNG/BJJ/171</t>
  </si>
  <si>
    <t>AJAY KUMAR</t>
  </si>
  <si>
    <t>Amarjeet Prajapati</t>
  </si>
  <si>
    <t>AGP/CNG/BJJ/114</t>
  </si>
  <si>
    <t>BALARAJU S</t>
  </si>
  <si>
    <t>AGP/CNG /UHS/006</t>
  </si>
  <si>
    <t>TG/CNG/Ludhiana/096</t>
  </si>
  <si>
    <t>Dayal Singh 2236</t>
  </si>
  <si>
    <t>TG/CNG/Bhopal/067</t>
  </si>
  <si>
    <t>Arjun Lodhi</t>
  </si>
  <si>
    <t>TG/CNG/Ludhiana/086</t>
  </si>
  <si>
    <t>Joga Singh 2237</t>
  </si>
  <si>
    <t>Shekhar Kumar</t>
  </si>
  <si>
    <t>AGP/CNG/BJJ/181</t>
  </si>
  <si>
    <t>Banne Singh</t>
  </si>
  <si>
    <t>06.03.2026</t>
  </si>
  <si>
    <t xml:space="preserve">AI &amp; Front camera angle need to change, Remove the object from Back camera, Driver is keeping the mobile in his pocket, Driver to wear the uniform in duty hours &amp; Driver disconnect the charging cable in mobile and then use of it </t>
  </si>
  <si>
    <t>Ravikumar A</t>
  </si>
  <si>
    <t>AGP/LNG/130</t>
  </si>
  <si>
    <t>Vishnu Ahirwar</t>
  </si>
  <si>
    <t>TG/CNG/Bhopal/008</t>
  </si>
  <si>
    <t>Athul</t>
  </si>
  <si>
    <t>Ashok Kumar Yadav</t>
  </si>
  <si>
    <t>AGP/LNG/276</t>
  </si>
  <si>
    <t>Driver doing single hand driving continuously/ Informed LLP</t>
  </si>
  <si>
    <t>Cabin camera angle need to change,  Driver to wear the uniform in duty hours, Driver he is fine or not, Driver disconnect the charging cable in mobile and then use of it , Driver doing single hand driving continuously, Vehicle has parked at roadside.</t>
  </si>
  <si>
    <t>Aneesh</t>
  </si>
  <si>
    <t xml:space="preserve">S.Nagendra </t>
  </si>
  <si>
    <t>AGP/ANK/CNG/5034</t>
  </si>
  <si>
    <t xml:space="preserve">Rohit thakur </t>
  </si>
  <si>
    <t>TG/CNG/Bhopal/105</t>
  </si>
  <si>
    <t>Thirukannan.V   </t>
  </si>
  <si>
    <t>AGP/LNG/104</t>
  </si>
  <si>
    <t>Loverpreet Singh 2234</t>
  </si>
  <si>
    <t>Driver do not drink water while driving</t>
  </si>
  <si>
    <t>Front camera angle need to change / Informed LLP</t>
  </si>
  <si>
    <t>RH camera angle need to change / Informed LLP</t>
  </si>
  <si>
    <t>Sandeep Kumar Sharma</t>
  </si>
  <si>
    <t>AGP/LNG/550</t>
  </si>
  <si>
    <t>VINOD SINGH</t>
  </si>
  <si>
    <t>TG/CNG/Bhopal/031</t>
  </si>
  <si>
    <t>Vivek Sahu</t>
  </si>
  <si>
    <t>Khadar Basha</t>
  </si>
  <si>
    <t>AGP/CNG/ANK/5020</t>
  </si>
  <si>
    <t>Akash</t>
  </si>
  <si>
    <t>AGP/ANK/CNG/5094</t>
  </si>
  <si>
    <t>Chand Basha.T</t>
  </si>
  <si>
    <t>TG/CNG/Bhopal/027</t>
  </si>
  <si>
    <t>Radheshyam Bilala</t>
  </si>
  <si>
    <t>07.03.2026</t>
  </si>
  <si>
    <t xml:space="preserve">Remove the object from Cabin camera, Driver is keeping the mobile in his pocket, Driver to wear the uniform in duty hours, Front camera angle need to change, RH camera angle need to change &amp; Driver doing single hand driving continuously </t>
  </si>
  <si>
    <t>Vehicle safety cone inside the cabin/ Informed LLP</t>
  </si>
  <si>
    <t>RAM NATH</t>
  </si>
  <si>
    <t>AGP/LNG/554</t>
  </si>
  <si>
    <t> PREMCHAND B N</t>
  </si>
  <si>
    <t>Rajashekhar R Waghmare</t>
  </si>
  <si>
    <t>AGP/CNG/KV/725</t>
  </si>
  <si>
    <t>Rajesh P</t>
  </si>
  <si>
    <t>AGP/CNG/KANCHI/226</t>
  </si>
  <si>
    <t> AGP/CNG/AKT/133</t>
  </si>
  <si>
    <t> Dharmendra</t>
  </si>
  <si>
    <t xml:space="preserve">ABDUL KARIM </t>
  </si>
  <si>
    <t>AGP/LNG/606</t>
  </si>
  <si>
    <t> Iranna Bisanalli</t>
  </si>
  <si>
    <t> AGP/CNG/CHK/476</t>
  </si>
  <si>
    <t>AI &amp; Front side camera angle need to change,  Driver to wear the uniform in duty hours,  Vehicle has parked at roadside, Remove the object from Cabin camera and Driver is keeping the mobile in his pocket .</t>
  </si>
  <si>
    <t>Nagarjuna.D</t>
  </si>
  <si>
    <t> AGP/CNG/ANK/5064</t>
  </si>
  <si>
    <t>Ramesh S</t>
  </si>
  <si>
    <t>AGP/LNG/019</t>
  </si>
  <si>
    <t>Yatheendran</t>
  </si>
  <si>
    <t>AGP/CNG/AKT/164</t>
  </si>
  <si>
    <t>Cabin &amp; RH camera angle need to change / Informed LLP</t>
  </si>
  <si>
    <t>Iyyappan M</t>
  </si>
  <si>
    <t>AGP/CNG/KANCHI/080</t>
  </si>
  <si>
    <t xml:space="preserve"> Driver is keeping the mobile in his pocket, Cabin &amp;RH camera angle need to change, Driver disconnect the charging cable in mobile and then use of it, Driver he is fine or not</t>
  </si>
  <si>
    <t>MP09AV9675 Violation mail pending</t>
  </si>
  <si>
    <t>RAVICHANDRA S</t>
  </si>
  <si>
    <t>AGP/CNG/MMC/148</t>
  </si>
  <si>
    <t>SUBEESH BABU</t>
  </si>
  <si>
    <t>AGP/LNG/604</t>
  </si>
  <si>
    <t>Manoj shahu</t>
  </si>
  <si>
    <t>AGP/ANK/CNG/5092</t>
  </si>
  <si>
    <t>Nagabhushana Uppara</t>
  </si>
  <si>
    <t>AGP/CNG/KANCHI/220</t>
  </si>
  <si>
    <t>Mathiazhakan M</t>
  </si>
  <si>
    <t>Dinesh kumar</t>
  </si>
  <si>
    <t>TG/CNG/Bhopal/009</t>
  </si>
  <si>
    <t>08.03.2026</t>
  </si>
  <si>
    <t>Driver do not drink water while driving, Driver to wear the uniform in duty hours, Driver disconnect the charging cable in mobile and then use of it, AI &amp; Front camera angle need to change, Driver is keeping the mobile in his pocket &amp; LH Camera angle need to change</t>
  </si>
  <si>
    <t>Driver to wear the uniform in duty hours &amp; AI camera angle need to change/ Informed LLP</t>
  </si>
  <si>
    <t>TIPPANNA BICHAGATTI</t>
  </si>
  <si>
    <t> AGP/CNG/UHS/98</t>
  </si>
  <si>
    <t>Sabareesan R</t>
  </si>
  <si>
    <t>AGP/CNG/KANCHI/192</t>
  </si>
  <si>
    <t> TG/CNG/Bhopal/027</t>
  </si>
  <si>
    <t>Shaik Allabakash</t>
  </si>
  <si>
    <t>AGP/ANK/CNG/5040</t>
  </si>
  <si>
    <t>Remove the object from AI camera/ Informed LLP</t>
  </si>
  <si>
    <t>Murugesan P</t>
  </si>
  <si>
    <t>AGP/LNG/058</t>
  </si>
  <si>
    <t>TG/CNG/Bhopal/038</t>
  </si>
  <si>
    <t>AI &amp; Front side camera angle need to change,  Driver to wear the uniform in duty hours,  Vehicle has parked at roadside, Remove the object from Cabin camera and Remove the object from AI camera</t>
  </si>
  <si>
    <t>Driver to rectify the Cabin camera View/ Informed LLP</t>
  </si>
  <si>
    <t>Cabin Camera angle need to change / Informed LLP</t>
  </si>
  <si>
    <t>Remove the object from Cabin &amp; RH camera/ Informed LLP</t>
  </si>
  <si>
    <t> P Poorna Chandra</t>
  </si>
  <si>
    <t>AGP/LNG/202</t>
  </si>
  <si>
    <t> Leninmani</t>
  </si>
  <si>
    <t> Ravikumar A</t>
  </si>
  <si>
    <t>AGP/CNG/CHK/465</t>
  </si>
  <si>
    <t xml:space="preserve">Channakeshava G A </t>
  </si>
  <si>
    <t xml:space="preserve"> Driver is keeping the mobile in his pocket, Cabin &amp;RH camera angle need to change, Driver to rectify the Cabin camera View , Vehicle has parked at roadside, Remove the object from Cabin &amp; RH camera.</t>
  </si>
  <si>
    <t>NIL</t>
  </si>
  <si>
    <t>LH side Camera angle need to change / Informed LLP</t>
  </si>
  <si>
    <t>Bharathiraja P</t>
  </si>
  <si>
    <t>AGP/CNG/KANCHI/219</t>
  </si>
  <si>
    <t>YOUGANDHAR BHOJANAPU</t>
  </si>
  <si>
    <t>AGP/ANK/CNG/5091</t>
  </si>
  <si>
    <t>Pugazendhi K</t>
  </si>
  <si>
    <t>AGP/CNG/KANCHI/146</t>
  </si>
  <si>
    <t>Akhil K P</t>
  </si>
  <si>
    <t>AGP/LNG/162</t>
  </si>
  <si>
    <t>09.03.2026</t>
  </si>
  <si>
    <t>Remove the object from AI camera, LH side camera angle need to change, Driver do not drink water while driving, Driver is keeping the mobile in his pocket, Unknown person in Co Driver seat and Vehicle has parked at roadside</t>
  </si>
  <si>
    <t> TG/CNG/BJJ/230</t>
  </si>
  <si>
    <t xml:space="preserve">ARUN RAJ A </t>
  </si>
  <si>
    <t>AGP/CNG/AKT/127</t>
  </si>
  <si>
    <t>SINU MON S.S</t>
  </si>
  <si>
    <t>AGP/LNG/569</t>
  </si>
  <si>
    <t>Suresh Vishnoi</t>
  </si>
  <si>
    <t>AGP/CNG/BJJ/210</t>
  </si>
  <si>
    <t>Remove the object from Front camera/ Informed LLP</t>
  </si>
  <si>
    <t>Cabin camera angle need to change,  Driver to wear the uniform in duty hours,  Vehicle has parked at roadside, Remove the object from Front camera, Driver doing single hand driving continuously</t>
  </si>
  <si>
    <t>TG/CNG/BJJ/234</t>
  </si>
  <si>
    <t xml:space="preserve">Dipa Ram </t>
  </si>
  <si>
    <t>AGP/CNG/ANK/5064</t>
  </si>
  <si>
    <t>Nagarjuna D</t>
  </si>
  <si>
    <t>Whatsapp msg, mail sent / Informed LLP / Mailed to KNV Team</t>
  </si>
  <si>
    <t>AI&amp;RH&amp;LH side Camera angle need to change / Informed LLP</t>
  </si>
  <si>
    <t xml:space="preserve"> AI &amp; LH&amp; RH camera angle need to change, Driver Remove the object from Cabin camera.</t>
  </si>
  <si>
    <t>KNV Violation mail pending</t>
  </si>
  <si>
    <t xml:space="preserve">Vithal Rao </t>
  </si>
  <si>
    <t>AGP/CNG/KNV/0733</t>
  </si>
  <si>
    <t>Govardhan Lodhi</t>
  </si>
  <si>
    <t>TG/CNG/Bhopal/015</t>
  </si>
  <si>
    <t xml:space="preserve">Arvind Kumar Pal </t>
  </si>
  <si>
    <t>AGP/LNG/573</t>
  </si>
  <si>
    <t>Sagadevan N</t>
  </si>
  <si>
    <t>AGP/CNG/KANCHI/198</t>
  </si>
  <si>
    <t>Gurpreet Singh spare</t>
  </si>
  <si>
    <t>(TG/CNG/Ludhiana/117</t>
  </si>
  <si>
    <t>Ramuvel</t>
  </si>
  <si>
    <t>AGP/CNG/KANCHI/144</t>
  </si>
  <si>
    <t>10.03.2026</t>
  </si>
  <si>
    <t>Remove the object from Cabin camera&amp; LH camera angle need to change/ Informed LLP</t>
  </si>
  <si>
    <t>Driver to wear the uniform in duty hours, Driver disconnect the charging cable in mobile and then use of it, Cabin camera angle need to change, Driver is keeping the mobile in his pocket,Unknown person in Co Driver seat Remove the object from Cabin camera&amp; LH camera angle need to change</t>
  </si>
  <si>
    <t> Manikandan J S</t>
  </si>
  <si>
    <t>MAHESHA (EXPO)</t>
  </si>
  <si>
    <t> AGP/CNG/MMC/165</t>
  </si>
  <si>
    <t xml:space="preserve">ARUN RAJA </t>
  </si>
  <si>
    <t xml:space="preserve">Israr Khan </t>
  </si>
  <si>
    <t>AGP/LNG/574</t>
  </si>
  <si>
    <t>Saravanan S</t>
  </si>
  <si>
    <t>AGP/LNG/426</t>
  </si>
  <si>
    <r>
      <t>AJITH KUMAR S</t>
    </r>
    <r>
      <rPr>
        <sz val="11"/>
        <color rgb="FF000000"/>
        <rFont val="Roboto"/>
      </rPr>
      <t xml:space="preserve"> </t>
    </r>
  </si>
  <si>
    <t>Driver to wear the uniform in duty hours, Vehicle has parked at roadside and AI ,Cabin &amp; LH side camera angle need to change</t>
  </si>
  <si>
    <t>AGP/CNG/AKT/038</t>
  </si>
  <si>
    <t xml:space="preserve">PRAKASH SASIDHARAN </t>
  </si>
  <si>
    <t>AGP/CNG/CTR/10</t>
  </si>
  <si>
    <t>Yanamala Veera Swamy</t>
  </si>
  <si>
    <t>AGP/CNG/KANCHI/154</t>
  </si>
  <si>
    <t>Dhanasekaran R</t>
  </si>
  <si>
    <t>AGP/LNG/571</t>
  </si>
  <si>
    <t> MOHD REHAN</t>
  </si>
  <si>
    <t xml:space="preserve"> AI &amp; LH&amp; RH camera angle need to change, Cabin Camera angle need to change.</t>
  </si>
  <si>
    <t>Golu Yadav</t>
  </si>
  <si>
    <t>TG/CNG/Bhopal/042</t>
  </si>
  <si>
    <t xml:space="preserve">P ALAGARSAMY </t>
  </si>
  <si>
    <t>AGP/LNG/503</t>
  </si>
  <si>
    <t xml:space="preserve">Shekhar Kumar </t>
  </si>
  <si>
    <t>Purushothaman</t>
  </si>
  <si>
    <t>AGP/CNG/KANCHI/141</t>
  </si>
  <si>
    <t>Ramashis Singh</t>
  </si>
  <si>
    <t>AGP/LNG/259</t>
  </si>
  <si>
    <t xml:space="preserve">Ratheesh Kumar S </t>
  </si>
  <si>
    <t>AGP/LNG/289</t>
  </si>
  <si>
    <t>Kamlesh Malviya</t>
  </si>
  <si>
    <t>TG/CNG/Bhopal/050</t>
  </si>
  <si>
    <t>Shanmugam Bodi Reddy</t>
  </si>
  <si>
    <t>TG/CNG/CTR/0866</t>
  </si>
  <si>
    <t>11.03.2026</t>
  </si>
  <si>
    <t>Driver to wear the uniform in duty hours, Cabin camera angle need to change, Driver is keeping the mobile in his pocket,Unknown person in Co Driver seat Remove the object from Cabin camera, Vehicle has parked at roadside</t>
  </si>
  <si>
    <t>Whatsapp msg, mail sent / Informed LLP / Mailed to Baghpat Team</t>
  </si>
  <si>
    <t>RH side Camera angle need to change / Informed LLP</t>
  </si>
  <si>
    <t>AI,RH&amp;LH side Camera angle need to change / Informed LLP</t>
  </si>
  <si>
    <t>AGP/CNG/MMC/170</t>
  </si>
  <si>
    <t>PRADEEP KUMAR G N</t>
  </si>
  <si>
    <t>AMIT KUMAR TRIPATHI</t>
  </si>
  <si>
    <t>AGP/LNG/612</t>
  </si>
  <si>
    <t>AGP/LNG/584</t>
  </si>
  <si>
    <t>RAMANAND PAL</t>
  </si>
  <si>
    <t>TG/CNG/Baghpat/045</t>
  </si>
  <si>
    <t>NIKKI</t>
  </si>
  <si>
    <t>SHIV KUMAR</t>
  </si>
  <si>
    <t>TG/CNG/Baghpat/065</t>
  </si>
  <si>
    <t>AI Camera angle need to change / Informed LLP</t>
  </si>
  <si>
    <t>AGP/LNG/258</t>
  </si>
  <si>
    <t>Santhakumar T</t>
  </si>
  <si>
    <t>AGP/CNG/KANCHI/216</t>
  </si>
  <si>
    <t>AGP/CNG/RMN/061</t>
  </si>
  <si>
    <t>BALAMURUGAN M</t>
  </si>
  <si>
    <t>AGP/LNG/601</t>
  </si>
  <si>
    <t>Ajeet Kumar Gaur</t>
  </si>
  <si>
    <t>TG/CNG/Baghpat/003</t>
  </si>
  <si>
    <t>DEVI SINGH</t>
  </si>
  <si>
    <t>Manobalan G</t>
  </si>
  <si>
    <t>AGP/CNG/KANCHI/234</t>
  </si>
  <si>
    <t xml:space="preserve">Driver is keeping the mobile in his pocket, AI,RH&amp;LH side Camera angle need to change, Driver doing single hand driving continuously, Driver to wear the uniform in duty hours, Remove the object from Cabin camera &amp; Front camera angle need to change </t>
  </si>
  <si>
    <t>Surendra kumar sharma</t>
  </si>
  <si>
    <t>AGP/LNG/373</t>
  </si>
  <si>
    <t>Poonam Chand Yadav</t>
  </si>
  <si>
    <t>AGP/LNG/062</t>
  </si>
  <si>
    <t>S.Maheboob Peeran</t>
  </si>
  <si>
    <t>AGP/CNG/ANK/5021</t>
  </si>
  <si>
    <t xml:space="preserve">Jaswinder Singh 2237 </t>
  </si>
  <si>
    <t>TG/CNG/Ludhiana/070</t>
  </si>
  <si>
    <t xml:space="preserve">Hanamanth Yankanchi </t>
  </si>
  <si>
    <t>AGP/CNG/BKR/59</t>
  </si>
  <si>
    <t xml:space="preserve">KARAM SINGH YADAV </t>
  </si>
  <si>
    <t xml:space="preserve">Ashok Kumar </t>
  </si>
  <si>
    <t>TG/CNG/Ludhiana/115</t>
  </si>
  <si>
    <t xml:space="preserve">Santhakumar T </t>
  </si>
  <si>
    <t xml:space="preserve">Sakthivel </t>
  </si>
  <si>
    <t>Driver he is fine or not / Informed LLP</t>
  </si>
  <si>
    <t>Whatsapp msg, mail sent / Informed LLP / Mailed to Vellore Team</t>
  </si>
  <si>
    <t>Whatsapp msg, mail sent / Informed LLP / Mailed to BKR Team</t>
  </si>
  <si>
    <t>Remove the object from Front side camera/ Informed LLP</t>
  </si>
  <si>
    <t>Driver is keeping the mobile in his pocket , Driver he is fine or not, Remove the object from Front side camera, Driver do not drink water while driving and Remove the object from Cabin camera</t>
  </si>
  <si>
    <t>RENJITH M R</t>
  </si>
  <si>
    <t>AGP/CNG/AKT/078</t>
  </si>
  <si>
    <t xml:space="preserve">BABY JOHN D </t>
  </si>
  <si>
    <t>AGP/CNG/AKT/159</t>
  </si>
  <si>
    <t xml:space="preserve">Sandeep Kumar Sharma </t>
  </si>
  <si>
    <t>VISHNU M</t>
  </si>
  <si>
    <t>AGP/CNG/AKT/130</t>
  </si>
  <si>
    <t>12.03.2026</t>
  </si>
  <si>
    <t>MANU B K</t>
  </si>
  <si>
    <t>AGP/CNG/AKT/120</t>
  </si>
  <si>
    <t>Cabin camera angle need to change, Unknown person in Co Driver seat, Remove the object from Cabin camera, RH camera angle need to change,  Driver disconnect the charging cable in mobile and then use of it, Driver do not drink water while driving</t>
  </si>
  <si>
    <t>Manpreet Singh 5639</t>
  </si>
  <si>
    <t>TG/CNG/Ludhiana/056</t>
  </si>
  <si>
    <t>SREERAJ B</t>
  </si>
  <si>
    <t>AGP/CNG/AKT/126</t>
  </si>
  <si>
    <t>AGP/LNG/568</t>
  </si>
  <si>
    <t>NITHIN G S</t>
  </si>
  <si>
    <t>Suresh K</t>
  </si>
  <si>
    <t>AGP/CNG/KANCHI/204</t>
  </si>
  <si>
    <t>Remove the object from Front &amp; Back camera / Informed LLP</t>
  </si>
  <si>
    <t>Remove the object from AI camera / Informed LLP</t>
  </si>
  <si>
    <t xml:space="preserve">Remove the object from Front &amp; Back camera, Driver do not drink water while driving, Driver is keeping the mobile in his pocket, Remove the object from AI camera, RH side Camera angle need to change &amp; Front camera angle need to change </t>
  </si>
  <si>
    <t>AI &amp; LH &amp;RH side Camera angle need to change / Informed LLP</t>
  </si>
  <si>
    <t>AGP/CNG/BJJ/129</t>
  </si>
  <si>
    <t>BHERU SINGH</t>
  </si>
  <si>
    <t>AGP/LNG/392</t>
  </si>
  <si>
    <t>TINISH M.U.</t>
  </si>
  <si>
    <t xml:space="preserve"> AI &amp; LH&amp; RH camera angle need to change, AI side Camera angle need to change , Driver do not drink water while driving, Vehicle has parked at roadside.</t>
  </si>
  <si>
    <t>NL01AK5776</t>
  </si>
  <si>
    <t>AGP/CNG/MMC/106</t>
  </si>
  <si>
    <t>SHIVAPPA B ALADAKATTI</t>
  </si>
  <si>
    <t>Subedar Pal</t>
  </si>
  <si>
    <t>AGP/LNG/467</t>
  </si>
  <si>
    <t>AGP/CNG/CHK/473</t>
  </si>
  <si>
    <t>Basappa Negalur</t>
  </si>
  <si>
    <t>TG/CNG/Ludhiana/038</t>
  </si>
  <si>
    <t>LAKHVIR SINGH 5634</t>
  </si>
  <si>
    <t>AGP/LNG/368</t>
  </si>
  <si>
    <t>Abhishek M</t>
  </si>
  <si>
    <t>Manoj Sahu</t>
  </si>
  <si>
    <t>AGP/LNG/576</t>
  </si>
  <si>
    <t>Dharmraj Pal</t>
  </si>
  <si>
    <t>Remove the object from Front camera / Informed LLP</t>
  </si>
  <si>
    <t>Remove the object from Cabin camera / Informed LLP</t>
  </si>
  <si>
    <t>Remove the object from Back camera / Informed LLP</t>
  </si>
  <si>
    <t>TG/CNG/Bhopal/032</t>
  </si>
  <si>
    <t>Jagdish Sahu</t>
  </si>
  <si>
    <t>13.03.2026</t>
  </si>
  <si>
    <t>AI &amp; LH &amp;RH side Camera angle need to change, Driver is keeping the mobile in his pocket, Remove the object from Front camera, Driver to wear the uniform in duty hours</t>
  </si>
  <si>
    <t>AI camera angle need to change / Informed LLP</t>
  </si>
  <si>
    <t>No seat belt vehicle maintanance / Informed LLP</t>
  </si>
  <si>
    <t xml:space="preserve">Dharmendra Gujrati </t>
  </si>
  <si>
    <t xml:space="preserve">RJ19GH7140 </t>
  </si>
  <si>
    <t xml:space="preserve"> Near-miss observed while monitoring: RJ19GH7140 Our HCV driver had parked the vehicle on the left-side of the highway road. At that time, two third-party trucks were parked in the same lane in front of our HCV. Our HCV driver tried to move to right-side lane to merge in the highway traffic. At that time, the driver noticed a third-party vehicle approaching from back side and moved the vehicle accordingly. At that moment, another third-party car suddenly came from the opposite lane, slow down suddenly, our HCV driver noticed it and immediately stopped the vehicle thereby avoided incident, Near-miss reported.</t>
  </si>
  <si>
    <t>AGP/CNG/BJJ/099</t>
  </si>
  <si>
    <t>Ramjan Khan</t>
  </si>
  <si>
    <t>AGP/CNG/KANCHI/031</t>
  </si>
  <si>
    <t>Vasudevan.P</t>
  </si>
  <si>
    <t>TG/CNG/Bhopal/049</t>
  </si>
  <si>
    <t>Raju Tomar</t>
  </si>
  <si>
    <t> Rohit thakur</t>
  </si>
  <si>
    <t> AGP/CNG/CHK/444</t>
  </si>
  <si>
    <t>AGP/CNG/BJJ/174</t>
  </si>
  <si>
    <t> Praveen Kumar</t>
  </si>
  <si>
    <t>LH &amp; Cabin camera angle need to change, Driver to rectify the Cabin camera View , Driver to wear the uniform in duty hours, Front camera angle need to change, Vehicle has parked at roadside, Driver do not drink water while driving , AI camera angle need to change, No seat belt vehicle maintanance.</t>
  </si>
  <si>
    <t>PRAMOD PR</t>
  </si>
  <si>
    <t>AGP/LNG/418</t>
  </si>
  <si>
    <t> Virendra Kumar Yadav</t>
  </si>
  <si>
    <t>Nagashetty</t>
  </si>
  <si>
    <t>AGP/CNG/KV/0731</t>
  </si>
  <si>
    <t xml:space="preserve">Lakhvir singh </t>
  </si>
  <si>
    <t>Fairoz Y</t>
  </si>
  <si>
    <t>AGP/CNG/VEL/026</t>
  </si>
  <si>
    <t xml:space="preserve">Unknown person in Co Driver seat, Driver disconnect the charging cable in mobile and then use of it, Remove the object from Cabin camera and Cabin Camera angle need to change </t>
  </si>
  <si>
    <t>TG/CNG/RMN/022</t>
  </si>
  <si>
    <t>P.BALAN</t>
  </si>
  <si>
    <t xml:space="preserve">Omprakash Kevat </t>
  </si>
  <si>
    <t>TG/CNG/Bhopal/111</t>
  </si>
  <si>
    <t>Remove the object from AI &amp; Cabin camera / Informed LLP</t>
  </si>
  <si>
    <t>14.03.2026</t>
  </si>
  <si>
    <t>Remove the object from AI &amp; Cabin camera, Driver is keeping the mobile in his pocket, RH side Camera angle need to change, Remove the object from Front side camera &amp; LH &amp; Cabin camera angle need to change</t>
  </si>
  <si>
    <t>Suraj singh</t>
  </si>
  <si>
    <t>TG/CNG/Bhopal/097</t>
  </si>
  <si>
    <t>phusaram</t>
  </si>
  <si>
    <t>AGP/CNG/BJJ/121</t>
  </si>
  <si>
    <t>Sivashanmugam</t>
  </si>
  <si>
    <t>AGP/CNG/KANCHI/165</t>
  </si>
  <si>
    <t>VINOD KUMAR YADAV</t>
  </si>
  <si>
    <t>AGP/LNG/592</t>
  </si>
  <si>
    <t>Marimuthu</t>
  </si>
  <si>
    <t> AGP/CNG/KANCHI/125</t>
  </si>
  <si>
    <t>Manikandan S</t>
  </si>
  <si>
    <t>AGP/CNG/KANCHI/160</t>
  </si>
  <si>
    <t>Munuswami S</t>
  </si>
  <si>
    <t>AGP/CNG/VEL/030</t>
  </si>
  <si>
    <t xml:space="preserve">SUBEESH BABU </t>
  </si>
  <si>
    <t>Driver to wear the uniform in duty hours, AI &amp; Front camera angle need to change, Unknown person in Co Driver seat, Vehicle has parked at roadside and Driver is keeping the mobile in his pocket</t>
  </si>
  <si>
    <t>Driver Continuosly using mobile while driving</t>
  </si>
  <si>
    <t>NL01AH9065</t>
  </si>
  <si>
    <t>AGP/LNG/334</t>
  </si>
  <si>
    <t>Munna Yadav</t>
  </si>
  <si>
    <t>Manish Solanki</t>
  </si>
  <si>
    <t>TG/CNG/Bhopal/059</t>
  </si>
  <si>
    <t>Darshan Singh 8248</t>
  </si>
  <si>
    <t>TG/CNG/Ludhiana/029</t>
  </si>
  <si>
    <t>Fakkirappa Nittur</t>
  </si>
  <si>
    <t>AGP/CNG/CHK/461</t>
  </si>
  <si>
    <t>Unknown person in Co Driver seat, Driver disconnect the charging cable in mobile and then use of it, Remove the object from Cabin camera, Driver is keeping the mobile in his pocket and Driver he is fine or not</t>
  </si>
  <si>
    <t>Gaibusab Galagali</t>
  </si>
  <si>
    <t>AGP/CNG/BKR/79</t>
  </si>
  <si>
    <t>AGP/CNG/CHK/476</t>
  </si>
  <si>
    <t>Iranna Bisanalli</t>
  </si>
  <si>
    <t>Jitendra dhangar</t>
  </si>
  <si>
    <t>TG/CNG/Bhopal/091</t>
  </si>
  <si>
    <t>RAHUL TOMAR</t>
  </si>
  <si>
    <t>TG/CNG/Baghpat/061</t>
  </si>
  <si>
    <t>P Pandiyan</t>
  </si>
  <si>
    <t>AGP/CNG/KANCHI/212</t>
  </si>
  <si>
    <t>TG/CNG/Ludhiana/022</t>
  </si>
  <si>
    <t>Pinder Singh</t>
  </si>
  <si>
    <t>15.03.2026</t>
  </si>
  <si>
    <t xml:space="preserve">1246-Violation mail pending </t>
  </si>
  <si>
    <t xml:space="preserve">Remove the object from Cabin camera, RH side Camera angle need to change, AI &amp; Front camera angle need to change, Driver to wear the uniform in duty hours, Driver do not drink water while driving, Driver is keeping the mobile in his pocket &amp; LH side Camera angle need to change  </t>
  </si>
  <si>
    <t xml:space="preserve">KA01AN8716 </t>
  </si>
  <si>
    <t>Near-miss observed while monitoring: KA01AN8716 our HCV was moving normally in the left side (left lane) of the road . At that time, a third-party car stopped ahead suddenly took a U-turn from the left side to the right side. At that same moment, a two-wheeler nearby that car attempted to cross from right side to the left side, Meanwhile, another third-party car overtook our HCV. Due to this sudden movement, the two-wheeler unexpectedly came in front of our HCV and stopped Suddenly .Our HCV driver noticed the situation immediately and applied sudden brakes avoiding incident. after that
One bike suddenly came in front and took u turn Our driver remained alert and controlled the vehicle safely. Kindly share the near miss with all drivers and educate to be cautious about vulnerable two wheelers, pedestrians and four wheelers.</t>
  </si>
  <si>
    <t>Surinder Singh 5683</t>
  </si>
  <si>
    <t>TG/CNG/Ludhiana/005</t>
  </si>
  <si>
    <t>Saravanan.S</t>
  </si>
  <si>
    <t>AGP/CNG/VEL/015</t>
  </si>
  <si>
    <t>Vijay tomer 2239</t>
  </si>
  <si>
    <t>TG/CNG/Ludhiana/109</t>
  </si>
  <si>
    <t>KUMAR MD</t>
  </si>
  <si>
    <t>AGP/CNG/CHK/469</t>
  </si>
  <si>
    <t>NARESH</t>
  </si>
  <si>
    <t>TG/CNG/Baghpat/051</t>
  </si>
  <si>
    <t>LH &amp; Cabin side Camera angle need to change / Informed LLP</t>
  </si>
  <si>
    <t>Devendra Yadav</t>
  </si>
  <si>
    <t>AGP/LNG/613</t>
  </si>
  <si>
    <t>BIJU S</t>
  </si>
  <si>
    <t>AGP/CNG/AKT/121</t>
  </si>
  <si>
    <t xml:space="preserve">SUKHWINDER SINGH </t>
  </si>
  <si>
    <t>TG/CNG/Ludhiana/034</t>
  </si>
  <si>
    <t xml:space="preserve">SHIV NARAYAN JAISWAL </t>
  </si>
  <si>
    <t> BASAVARAJ N MATTUR</t>
  </si>
  <si>
    <t>AGP/CNG/UHS/118</t>
  </si>
  <si>
    <t xml:space="preserve">Mohan Babu </t>
  </si>
  <si>
    <t>ID NOT CREATED</t>
  </si>
  <si>
    <t xml:space="preserve"> Driver he is fine or not</t>
  </si>
  <si>
    <t>AGP/CNG/KANCHI/125</t>
  </si>
  <si>
    <t>TG/CNG/BJJ/216</t>
  </si>
  <si>
    <t>Bhanwara Ram</t>
  </si>
  <si>
    <t>16.03.2026</t>
  </si>
  <si>
    <t>AI Camera angle need to change , Driver to wear the uniform in duty hours, LH &amp; Cabin side Camera angle need to change, RH Camera angle need to change.</t>
  </si>
  <si>
    <t>Near-miss observed while monitoring:KA01AM7140 Our HCV was moving normally on the left side (right lane) of the road .Traffic on the road was moderate at that time. A Tata Ace vehicle was moving ahead infront of our HCV. Suddenly, another Tata Ace came from the opposite direction attempted to take a U-turn. Tata Ace moving near our vehicle applied sudden brake. Observing this situation immediately, our HCV driver applied sudden brake to control the vehicle, thereby avoiding a potential incident but near-miss reported.</t>
  </si>
  <si>
    <t>KOCHI</t>
  </si>
  <si>
    <t>Honnappa Y Bhajantri</t>
  </si>
  <si>
    <t>AGP/CNG/CTR/60</t>
  </si>
  <si>
    <t>Beant Singh 8396</t>
  </si>
  <si>
    <t>AGP/CNG/Ludhiana/111</t>
  </si>
  <si>
    <t>Whatsapp msg, mail sent / Informed LLP / Mailed to DahejTeam</t>
  </si>
  <si>
    <t>Kamalakar</t>
  </si>
  <si>
    <t>AGP/CNG/KV/0617</t>
  </si>
  <si>
    <t>AGP/LNG/256</t>
  </si>
  <si>
    <t>Driver to wear the uniform in duty hours,Front camera angle need to change, Unknown person in Co Driver seat, Vehicle has parked at roadside and Driver is keeping the mobile in his pocket, Remove the object from Cabin camera, Driver do not drink water while driving, Driver he is fine or not</t>
  </si>
  <si>
    <t xml:space="preserve">Mangilal Tomar </t>
  </si>
  <si>
    <t>TG/CNG/Bhopal/060</t>
  </si>
  <si>
    <t> JAGADISH SURVAY</t>
  </si>
  <si>
    <t>AGP/CNG/UHS/102</t>
  </si>
  <si>
    <t>VIKAS</t>
  </si>
  <si>
    <t>TG/CNG/Baghpat/035</t>
  </si>
  <si>
    <t>ERAPPA HANUMANTHAPPA</t>
  </si>
  <si>
    <t>AGP/CNG/CHK/478</t>
  </si>
  <si>
    <t>Kamal Lowanshi</t>
  </si>
  <si>
    <t>TG/CNG/Bhopal/013</t>
  </si>
  <si>
    <t xml:space="preserve">Driver do not drink water while driving, Driver is keeping the mobile in his pocket, AI Camera angle need to change and Remove the object from Cabin camera </t>
  </si>
  <si>
    <t xml:space="preserve">Jalandhar Maurya </t>
  </si>
  <si>
    <t>AGP/LNG/358</t>
  </si>
  <si>
    <t>AI &amp; LH &amp;RH Camera angle need to change / Informed LLP</t>
  </si>
  <si>
    <t>AGP/LNG/559</t>
  </si>
  <si>
    <t xml:space="preserve">Neeraj Mishra </t>
  </si>
  <si>
    <t xml:space="preserve">RAMANAND PAL </t>
  </si>
  <si>
    <t>17.03.2026</t>
  </si>
  <si>
    <t>AI Camera angle need to change , Driver to wear the uniform in duty hours, AI &amp; LH &amp; RH  side Camera angle need to change, LH Camera angle need to change.</t>
  </si>
  <si>
    <t>SIBI S</t>
  </si>
  <si>
    <t>AGP/CNG/AKT/144</t>
  </si>
  <si>
    <t xml:space="preserve">Shanmugam Bodi Reddy </t>
  </si>
  <si>
    <t>Manjunath Sakrannanavar</t>
  </si>
  <si>
    <t>AGP/CNG/UHS/114</t>
  </si>
  <si>
    <t>Whatsapp msg, mail sent / Informed LLP / Mailed to UHS Team</t>
  </si>
  <si>
    <t>PHUSA RAM</t>
  </si>
  <si>
    <t xml:space="preserve">Bharathiraja P </t>
  </si>
  <si>
    <t>Cabin side Camera angle need to change / Informed LLP</t>
  </si>
  <si>
    <t>Mota Ram</t>
  </si>
  <si>
    <t>TG/CNG/BJJ/225</t>
  </si>
  <si>
    <t>RAJESH KUMAR</t>
  </si>
  <si>
    <t>TG/CNG/Baghpat/024</t>
  </si>
  <si>
    <t>Driver to wear the uniform in duty hours, Front &amp;  Cabincamera angle need to change,  Vehicle has parked at roadside and Driver is keeping the mobile in his pocket, Remove the object from Cabin camera</t>
  </si>
  <si>
    <t>Pandiyan R</t>
  </si>
  <si>
    <t>AGP/CNG/VEL/028</t>
  </si>
  <si>
    <t>PRADEEP Y</t>
  </si>
  <si>
    <t>AGP/CNG/AKT/138</t>
  </si>
  <si>
    <t>PREM P SINGH</t>
  </si>
  <si>
    <t>AGP/LNG/498</t>
  </si>
  <si>
    <t xml:space="preserve">REJI RAJAN </t>
  </si>
  <si>
    <t>AGP/CNG/AKT/125</t>
  </si>
  <si>
    <t xml:space="preserve">Mahesh Golla </t>
  </si>
  <si>
    <t>AGP/ANK/CNG/5089</t>
  </si>
  <si>
    <t xml:space="preserve">Devendra Yadav </t>
  </si>
  <si>
    <t>Remove the object from front camera / Informed LLP</t>
  </si>
  <si>
    <t>Rear camera angle need to change / Informed LLP</t>
  </si>
  <si>
    <t> P Pandiyan</t>
  </si>
  <si>
    <t xml:space="preserve">SHARATH BABU RAO SALANKE J B </t>
  </si>
  <si>
    <t>AGP/CNG/MMC/143</t>
  </si>
  <si>
    <t>18.03.2026</t>
  </si>
  <si>
    <t>Rear&amp; RH  side Camera angle need to change, Remove the object from Front camera, Unknown person in Co Driver seat, Vehicle has parked at roadside, Driver he is fine or not, Driver disconnect the charging cable in mobile and then use of it</t>
  </si>
  <si>
    <t>Transporter Name</t>
  </si>
  <si>
    <t>LNG</t>
  </si>
  <si>
    <t>HCV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</si>
</sst>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14009]dd\ mmmm\ yyyy;@"/>
    <numFmt numFmtId="166" formatCode="[$-14009]hh:mm;@"/>
  </numFmts>
  <fonts count="4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FFFFFF"/>
      <name val="Calibri"/>
      <family val="2"/>
    </font>
    <font>
      <b/>
      <sz val="11"/>
      <color rgb="FF000000"/>
      <name val="Calibri"/>
      <family val="2"/>
    </font>
    <font>
      <sz val="11"/>
      <color rgb="FF000000"/>
      <name val="Calibri"/>
      <family val="2"/>
    </font>
    <font>
      <u/>
      <sz val="11"/>
      <color theme="10"/>
      <name val="Calibri"/>
      <family val="2"/>
      <scheme val="minor"/>
    </font>
    <font>
      <b/>
      <sz val="12"/>
      <color rgb="FF000000"/>
      <name val="Aptos"/>
      <family val="2"/>
    </font>
    <font>
      <b/>
      <sz val="12"/>
      <color theme="1"/>
      <name val="Aptos"/>
      <family val="2"/>
    </font>
    <font>
      <b/>
      <sz val="14"/>
      <color rgb="FF000000"/>
      <name val="Times New Roman"/>
      <family val="1"/>
    </font>
    <font>
      <sz val="16"/>
      <color rgb="FF000000"/>
      <name val="Calibri"/>
      <family val="2"/>
    </font>
    <font>
      <sz val="14"/>
      <color rgb="FF000000"/>
      <name val="Times New Roman"/>
      <family val="1"/>
    </font>
    <font>
      <b/>
      <sz val="14"/>
      <color theme="1"/>
      <name val="Calibri"/>
      <family val="2"/>
      <scheme val="minor"/>
    </font>
    <font>
      <sz val="14"/>
      <color theme="1"/>
      <name val="Calibri"/>
      <family val="2"/>
      <scheme val="minor"/>
    </font>
    <font>
      <sz val="14"/>
      <color rgb="FF000000"/>
      <name val="Calibri"/>
      <family val="2"/>
      <scheme val="minor"/>
    </font>
    <font>
      <sz val="14"/>
      <name val="Calibri"/>
      <family val="2"/>
      <scheme val="minor"/>
    </font>
    <font>
      <b/>
      <sz val="12"/>
      <name val="Calibri"/>
      <family val="2"/>
      <scheme val="minor"/>
    </font>
    <font>
      <b/>
      <sz val="12"/>
      <color theme="1"/>
      <name val="Calibri"/>
      <family val="2"/>
      <scheme val="minor"/>
    </font>
    <font>
      <b/>
      <sz val="11"/>
      <color theme="1"/>
      <name val="Calibri"/>
      <family val="2"/>
      <scheme val="minor"/>
    </font>
    <font>
      <sz val="11"/>
      <color rgb="FF0070C0"/>
      <name val="Calibri"/>
      <family val="2"/>
      <scheme val="minor"/>
    </font>
    <font>
      <u/>
      <sz val="8"/>
      <color theme="10"/>
      <name val="Calibri"/>
      <family val="2"/>
      <scheme val="minor"/>
    </font>
    <font>
      <sz val="8"/>
      <color theme="1"/>
      <name val="Calibri"/>
      <family val="2"/>
      <scheme val="minor"/>
    </font>
    <font>
      <sz val="11"/>
      <color rgb="FF000000"/>
      <name val="Calibri"/>
      <family val="2"/>
      <scheme val="minor"/>
    </font>
    <font>
      <b/>
      <sz val="14"/>
      <name val="Calibri"/>
      <family val="2"/>
      <scheme val="minor"/>
    </font>
    <font>
      <sz val="14"/>
      <color rgb="FF000000"/>
      <name val="Calibri"/>
      <family val="2"/>
    </font>
    <font>
      <sz val="14"/>
      <color theme="1"/>
      <name val="Calibri"/>
      <family val="2"/>
    </font>
    <font>
      <sz val="11"/>
      <color theme="10"/>
      <name val="Calibri"/>
      <family val="2"/>
      <scheme val="minor"/>
    </font>
    <font>
      <sz val="8"/>
      <name val="Calibri"/>
      <family val="2"/>
      <scheme val="minor"/>
    </font>
    <font>
      <sz val="11"/>
      <color rgb="FF000000"/>
      <name val="Roboto"/>
    </font>
    <font>
      <sz val="11"/>
      <name val="Calibri"/>
      <family val="2"/>
    </font>
    <font>
      <b/>
      <sz val="11"/>
      <name val="Calibri"/>
      <family val="2"/>
    </font>
  </fonts>
  <fills count="15">
    <fill>
      <patternFill patternType="none"/>
    </fill>
    <fill>
      <patternFill patternType="gray125"/>
    </fill>
    <fill>
      <patternFill patternType="solid">
        <fgColor rgb="FFE97132"/>
        <bgColor indexed="64"/>
      </patternFill>
    </fill>
    <fill>
      <patternFill patternType="solid">
        <fgColor rgb="FFCCFFFF"/>
        <bgColor indexed="64"/>
      </patternFill>
    </fill>
    <fill>
      <patternFill patternType="solid">
        <fgColor rgb="FFC6E0B4"/>
        <bgColor indexed="64"/>
      </patternFill>
    </fill>
    <fill>
      <patternFill patternType="solid">
        <fgColor rgb="FFDBDBDB"/>
        <bgColor indexed="64"/>
      </patternFill>
    </fill>
    <fill>
      <patternFill patternType="solid">
        <fgColor rgb="FFF8CBAD"/>
        <bgColor indexed="64"/>
      </patternFill>
    </fill>
    <fill>
      <patternFill patternType="solid">
        <fgColor rgb="FFFFC000"/>
        <bgColor indexed="64"/>
      </patternFill>
    </fill>
    <fill>
      <patternFill patternType="solid">
        <fgColor rgb="FFFFE699"/>
        <bgColor indexed="64"/>
      </patternFill>
    </fill>
    <fill>
      <patternFill patternType="solid">
        <fgColor rgb="FFB4C6E7"/>
        <bgColor indexed="64"/>
      </patternFill>
    </fill>
    <fill>
      <patternFill patternType="solid">
        <fgColor theme="5"/>
        <bgColor indexed="64"/>
      </patternFill>
    </fill>
    <fill>
      <patternFill patternType="solid">
        <fgColor theme="0"/>
        <bgColor indexed="64"/>
      </patternFill>
    </fill>
    <fill>
      <patternFill patternType="solid">
        <fgColor rgb="FFFFFFFF"/>
        <bgColor rgb="FF000000"/>
      </patternFill>
    </fill>
    <fill>
      <patternFill patternType="solid">
        <fgColor theme="7"/>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rgb="FF000000"/>
      </bottom>
      <diagonal/>
    </border>
    <border>
      <left/>
      <right style="medium">
        <color auto="1"/>
      </right>
      <top/>
      <bottom/>
      <diagonal/>
    </border>
    <border>
      <left style="medium">
        <color auto="1"/>
      </left>
      <right style="medium">
        <color auto="1"/>
      </right>
      <top/>
      <bottom/>
      <diagonal/>
    </border>
    <border>
      <left style="thin">
        <color auto="1"/>
      </left>
      <right style="thin">
        <color auto="1"/>
      </right>
      <top style="thin">
        <color auto="1"/>
      </top>
      <bottom/>
      <diagonal/>
    </border>
  </borders>
  <cellStyleXfs count="4">
    <xf numFmtId="0" fontId="0" fillId="0" borderId="0"/>
    <xf numFmtId="0" fontId="24" fillId="0" borderId="0" applyNumberFormat="0" applyFill="0" applyBorder="0" applyAlignment="0" applyProtection="0"/>
    <xf numFmtId="0" fontId="4" fillId="0" borderId="0"/>
    <xf numFmtId="0" fontId="47" fillId="0" borderId="0"/>
  </cellStyleXfs>
  <cellXfs count="137">
    <xf numFmtId="0" fontId="0" fillId="0" borderId="0" xfId="0"/>
    <xf numFmtId="0" fontId="21" fillId="2" borderId="1" xfId="0" applyFont="1" applyFill="1" applyBorder="1" applyAlignment="1">
      <alignment horizontal="center" vertical="center"/>
    </xf>
    <xf numFmtId="0" fontId="22" fillId="2" borderId="1" xfId="0" applyFont="1" applyFill="1" applyBorder="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4" fillId="0" borderId="1" xfId="1" applyBorder="1" applyAlignment="1">
      <alignment horizontal="center" vertical="center"/>
    </xf>
    <xf numFmtId="0" fontId="0" fillId="0" borderId="1" xfId="0" applyBorder="1"/>
    <xf numFmtId="0" fontId="0" fillId="0" borderId="1" xfId="0" applyBorder="1" applyAlignment="1">
      <alignment wrapText="1"/>
    </xf>
    <xf numFmtId="0" fontId="23" fillId="0" borderId="0" xfId="0" applyFont="1" applyAlignment="1">
      <alignment horizontal="center" vertical="center"/>
    </xf>
    <xf numFmtId="0" fontId="24" fillId="0" borderId="0" xfId="1" applyBorder="1" applyAlignment="1">
      <alignment horizontal="center" vertical="center"/>
    </xf>
    <xf numFmtId="0" fontId="25" fillId="3" borderId="2" xfId="0" applyFont="1" applyFill="1" applyBorder="1" applyAlignment="1">
      <alignment vertical="center" wrapText="1"/>
    </xf>
    <xf numFmtId="0" fontId="25" fillId="3" borderId="3" xfId="0" applyFont="1" applyFill="1" applyBorder="1" applyAlignment="1">
      <alignment vertical="center" wrapText="1"/>
    </xf>
    <xf numFmtId="0" fontId="26" fillId="0" borderId="4" xfId="0" applyFont="1" applyBorder="1" applyAlignment="1">
      <alignment vertical="center" wrapText="1"/>
    </xf>
    <xf numFmtId="0" fontId="26" fillId="0" borderId="5" xfId="0" applyFont="1" applyBorder="1" applyAlignment="1">
      <alignment vertical="center" wrapText="1"/>
    </xf>
    <xf numFmtId="0" fontId="27" fillId="4" borderId="2" xfId="0" applyFont="1" applyFill="1" applyBorder="1" applyAlignment="1">
      <alignment horizontal="center" vertical="center"/>
    </xf>
    <xf numFmtId="0" fontId="27" fillId="4" borderId="3" xfId="0" applyFont="1" applyFill="1" applyBorder="1" applyAlignment="1">
      <alignment horizontal="center" vertical="center"/>
    </xf>
    <xf numFmtId="0" fontId="27" fillId="4" borderId="6" xfId="0" applyFont="1" applyFill="1" applyBorder="1" applyAlignment="1">
      <alignment horizontal="center" vertical="center"/>
    </xf>
    <xf numFmtId="0" fontId="28" fillId="0" borderId="4" xfId="0" applyFont="1" applyBorder="1" applyAlignment="1">
      <alignment horizontal="center" vertical="center"/>
    </xf>
    <xf numFmtId="0" fontId="29" fillId="6" borderId="5" xfId="0" applyFont="1" applyFill="1" applyBorder="1" applyAlignment="1">
      <alignment horizontal="center" vertical="center"/>
    </xf>
    <xf numFmtId="0" fontId="29" fillId="0" borderId="5" xfId="0" applyFont="1" applyBorder="1" applyAlignment="1">
      <alignment horizontal="center" vertical="center"/>
    </xf>
    <xf numFmtId="0" fontId="27" fillId="7" borderId="5" xfId="0" applyFont="1" applyFill="1" applyBorder="1" applyAlignment="1">
      <alignment horizontal="center" vertical="center"/>
    </xf>
    <xf numFmtId="0" fontId="29" fillId="0" borderId="9" xfId="0" applyFont="1" applyBorder="1" applyAlignment="1">
      <alignment horizontal="center" vertical="center" wrapText="1"/>
    </xf>
    <xf numFmtId="0" fontId="29" fillId="0" borderId="5" xfId="0" applyFont="1" applyBorder="1" applyAlignment="1">
      <alignment horizontal="center" vertical="center" wrapText="1"/>
    </xf>
    <xf numFmtId="0" fontId="29" fillId="8" borderId="5" xfId="0" applyFont="1" applyFill="1" applyBorder="1" applyAlignment="1">
      <alignment horizontal="center" vertical="center"/>
    </xf>
    <xf numFmtId="0" fontId="29" fillId="9" borderId="5" xfId="0" applyFont="1" applyFill="1" applyBorder="1" applyAlignment="1">
      <alignment horizontal="center" vertical="center"/>
    </xf>
    <xf numFmtId="0" fontId="27" fillId="9" borderId="5" xfId="0" applyFont="1" applyFill="1" applyBorder="1" applyAlignment="1">
      <alignment horizontal="center" vertical="center"/>
    </xf>
    <xf numFmtId="0" fontId="27" fillId="6" borderId="5" xfId="0" applyFont="1" applyFill="1" applyBorder="1" applyAlignment="1">
      <alignment horizontal="center" vertical="center"/>
    </xf>
    <xf numFmtId="0" fontId="30" fillId="10" borderId="1" xfId="0" applyFont="1" applyFill="1" applyBorder="1" applyAlignment="1">
      <alignment horizontal="center" vertical="center"/>
    </xf>
    <xf numFmtId="164" fontId="30" fillId="10" borderId="1" xfId="0" applyNumberFormat="1" applyFont="1" applyFill="1" applyBorder="1" applyAlignment="1">
      <alignment horizontal="center" vertical="center"/>
    </xf>
    <xf numFmtId="0" fontId="31" fillId="0" borderId="1" xfId="0" applyFont="1" applyBorder="1" applyAlignment="1">
      <alignment horizontal="center" vertical="center"/>
    </xf>
    <xf numFmtId="164" fontId="31" fillId="0" borderId="1" xfId="0" applyNumberFormat="1" applyFont="1" applyBorder="1" applyAlignment="1">
      <alignment horizontal="center" vertical="center"/>
    </xf>
    <xf numFmtId="0" fontId="31" fillId="11" borderId="1" xfId="0" applyFont="1" applyFill="1" applyBorder="1" applyAlignment="1">
      <alignment horizontal="center" vertical="center"/>
    </xf>
    <xf numFmtId="20" fontId="31" fillId="0" borderId="1" xfId="0" applyNumberFormat="1" applyFont="1" applyBorder="1" applyAlignment="1">
      <alignment horizontal="center" vertical="center"/>
    </xf>
    <xf numFmtId="164" fontId="32" fillId="0" borderId="1" xfId="0" applyNumberFormat="1" applyFont="1" applyBorder="1" applyAlignment="1">
      <alignment horizontal="center" vertical="center"/>
    </xf>
    <xf numFmtId="20" fontId="31" fillId="11" borderId="1" xfId="0" applyNumberFormat="1" applyFont="1" applyFill="1" applyBorder="1" applyAlignment="1">
      <alignment horizontal="center" vertical="center"/>
    </xf>
    <xf numFmtId="0" fontId="32" fillId="12" borderId="1" xfId="0" applyFont="1" applyFill="1" applyBorder="1" applyAlignment="1">
      <alignment horizontal="center" vertical="center"/>
    </xf>
    <xf numFmtId="20" fontId="32"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1" fillId="0" borderId="1" xfId="0" applyFont="1" applyBorder="1" applyAlignment="1">
      <alignment vertical="center"/>
    </xf>
    <xf numFmtId="0" fontId="30" fillId="10" borderId="1" xfId="0" applyFont="1" applyFill="1" applyBorder="1" applyAlignment="1">
      <alignment horizontal="center" vertical="center" wrapText="1"/>
    </xf>
    <xf numFmtId="0" fontId="31" fillId="0" borderId="1" xfId="0" applyFont="1" applyBorder="1" applyAlignment="1">
      <alignment horizontal="center" vertical="center" wrapText="1"/>
    </xf>
    <xf numFmtId="0" fontId="31" fillId="0" borderId="1" xfId="0" applyFont="1" applyBorder="1" applyAlignment="1">
      <alignment horizontal="left"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21" fontId="31" fillId="0" borderId="1" xfId="0" applyNumberFormat="1" applyFont="1" applyBorder="1" applyAlignment="1">
      <alignment horizontal="center" vertical="center"/>
    </xf>
    <xf numFmtId="0" fontId="34" fillId="13"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xf>
    <xf numFmtId="0" fontId="0" fillId="0" borderId="1" xfId="0" applyBorder="1" applyAlignment="1">
      <alignment horizontal="center"/>
    </xf>
    <xf numFmtId="0" fontId="35" fillId="7" borderId="1" xfId="0" applyFont="1" applyFill="1" applyBorder="1" applyAlignment="1">
      <alignment horizontal="center" vertical="center"/>
    </xf>
    <xf numFmtId="0" fontId="36" fillId="0" borderId="1" xfId="0" applyFont="1" applyBorder="1" applyAlignment="1">
      <alignment horizontal="center" vertical="center" wrapText="1"/>
    </xf>
    <xf numFmtId="0" fontId="0" fillId="0" borderId="1" xfId="0" applyBorder="1" applyAlignment="1">
      <alignment horizontal="center" vertical="center" wrapText="1"/>
    </xf>
    <xf numFmtId="0" fontId="37" fillId="0" borderId="1" xfId="1" applyFont="1" applyBorder="1" applyAlignment="1">
      <alignment horizontal="center" vertical="center" wrapText="1"/>
    </xf>
    <xf numFmtId="0" fontId="24" fillId="0" borderId="1" xfId="1" applyBorder="1" applyAlignment="1">
      <alignment horizontal="center" vertical="center" wrapText="1"/>
    </xf>
    <xf numFmtId="0" fontId="38" fillId="0" borderId="1" xfId="1" applyFont="1" applyBorder="1" applyAlignment="1">
      <alignment horizontal="center" vertical="center" wrapText="1"/>
    </xf>
    <xf numFmtId="0" fontId="0" fillId="11" borderId="1" xfId="0" applyFill="1" applyBorder="1" applyAlignment="1">
      <alignment horizontal="center" vertical="center" wrapText="1"/>
    </xf>
    <xf numFmtId="0" fontId="39" fillId="0" borderId="1" xfId="0" applyFont="1" applyBorder="1" applyAlignment="1">
      <alignment horizontal="center" vertical="center" wrapText="1"/>
    </xf>
    <xf numFmtId="0" fontId="39" fillId="0" borderId="1" xfId="0" applyFont="1" applyBorder="1" applyAlignment="1">
      <alignment horizontal="center" vertical="center"/>
    </xf>
    <xf numFmtId="0" fontId="36" fillId="0" borderId="1" xfId="0" applyFont="1" applyBorder="1" applyAlignment="1">
      <alignment horizontal="center" vertical="center"/>
    </xf>
    <xf numFmtId="0" fontId="0" fillId="11" borderId="1" xfId="0" applyFill="1" applyBorder="1" applyAlignment="1">
      <alignment horizontal="center" vertical="center"/>
    </xf>
    <xf numFmtId="0" fontId="24" fillId="0" borderId="1" xfId="1" applyFill="1" applyBorder="1" applyAlignment="1">
      <alignment horizontal="center" vertical="center" wrapText="1"/>
    </xf>
    <xf numFmtId="165" fontId="32" fillId="0" borderId="1" xfId="0" applyNumberFormat="1" applyFont="1" applyBorder="1" applyAlignment="1">
      <alignment horizontal="center" vertical="center"/>
    </xf>
    <xf numFmtId="0" fontId="31" fillId="14" borderId="1" xfId="0" applyFont="1" applyFill="1" applyBorder="1" applyAlignment="1">
      <alignment horizontal="center" vertical="center"/>
    </xf>
    <xf numFmtId="0" fontId="31" fillId="14" borderId="1" xfId="0" applyFont="1" applyFill="1" applyBorder="1" applyAlignment="1">
      <alignment horizontal="center"/>
    </xf>
    <xf numFmtId="14" fontId="31" fillId="0" borderId="1" xfId="0" applyNumberFormat="1" applyFont="1" applyBorder="1" applyAlignment="1">
      <alignment horizontal="center"/>
    </xf>
    <xf numFmtId="0" fontId="33" fillId="11" borderId="1" xfId="0" applyFont="1" applyFill="1" applyBorder="1" applyAlignment="1">
      <alignment horizontal="center" vertical="center"/>
    </xf>
    <xf numFmtId="0" fontId="33" fillId="0" borderId="1" xfId="0" applyFont="1" applyBorder="1" applyAlignment="1">
      <alignment horizontal="center" vertical="center"/>
    </xf>
    <xf numFmtId="0" fontId="0" fillId="0" borderId="0" xfId="0" applyAlignment="1">
      <alignment horizontal="center" vertical="center"/>
    </xf>
    <xf numFmtId="0" fontId="41" fillId="11" borderId="1" xfId="0" applyFont="1" applyFill="1" applyBorder="1" applyAlignment="1">
      <alignment horizontal="center" vertical="center"/>
    </xf>
    <xf numFmtId="0" fontId="41" fillId="11" borderId="1" xfId="0" applyFont="1" applyFill="1" applyBorder="1" applyAlignment="1">
      <alignment horizontal="center" vertical="center" wrapText="1"/>
    </xf>
    <xf numFmtId="0" fontId="42" fillId="0" borderId="1" xfId="0" applyFont="1" applyBorder="1" applyAlignment="1">
      <alignment horizontal="center" vertical="center"/>
    </xf>
    <xf numFmtId="0" fontId="43"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31" fillId="0" borderId="0" xfId="0" applyFont="1" applyAlignment="1">
      <alignment horizontal="center" vertical="center"/>
    </xf>
    <xf numFmtId="15" fontId="31" fillId="11" borderId="1" xfId="0" applyNumberFormat="1" applyFont="1" applyFill="1" applyBorder="1" applyAlignment="1">
      <alignment horizontal="center"/>
    </xf>
    <xf numFmtId="49" fontId="20" fillId="0" borderId="1" xfId="0" applyNumberFormat="1" applyFont="1" applyBorder="1" applyAlignment="1">
      <alignment horizontal="center" vertical="center"/>
    </xf>
    <xf numFmtId="49" fontId="19" fillId="0" borderId="1" xfId="0" applyNumberFormat="1" applyFont="1" applyBorder="1" applyAlignment="1">
      <alignment horizontal="center" vertical="center"/>
    </xf>
    <xf numFmtId="0" fontId="18" fillId="0" borderId="1" xfId="0" applyFont="1" applyBorder="1" applyAlignment="1">
      <alignment horizontal="center" vertical="center" wrapText="1"/>
    </xf>
    <xf numFmtId="49" fontId="17"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6" fillId="11" borderId="1" xfId="0" applyFont="1" applyFill="1" applyBorder="1" applyAlignment="1">
      <alignment horizontal="center" vertical="center"/>
    </xf>
    <xf numFmtId="0" fontId="16" fillId="11"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4" fillId="0" borderId="1" xfId="1" applyBorder="1"/>
    <xf numFmtId="49" fontId="13"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11" fillId="0" borderId="1" xfId="0" applyFont="1" applyBorder="1"/>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9" fillId="0" borderId="1" xfId="0" applyFont="1" applyBorder="1" applyAlignment="1">
      <alignment horizontal="center" vertical="center" wrapText="1"/>
    </xf>
    <xf numFmtId="0" fontId="44" fillId="0" borderId="1" xfId="1" applyFont="1" applyBorder="1" applyAlignment="1">
      <alignment horizontal="center" vertical="center" wrapText="1"/>
    </xf>
    <xf numFmtId="0" fontId="44" fillId="0" borderId="1" xfId="1" applyFont="1" applyBorder="1" applyAlignment="1">
      <alignment horizontal="center" wrapText="1"/>
    </xf>
    <xf numFmtId="0" fontId="0" fillId="0" borderId="1" xfId="0" applyBorder="1" applyAlignment="1">
      <alignment horizontal="center" wrapText="1"/>
    </xf>
    <xf numFmtId="49" fontId="8"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20" fontId="0" fillId="0" borderId="0" xfId="0" applyNumberFormat="1" applyAlignment="1">
      <alignment horizontal="center" vertical="center"/>
    </xf>
    <xf numFmtId="49" fontId="6" fillId="0" borderId="1" xfId="0" applyNumberFormat="1" applyFont="1" applyBorder="1" applyAlignment="1">
      <alignment horizontal="center"/>
    </xf>
    <xf numFmtId="49" fontId="5" fillId="0" borderId="1" xfId="0" applyNumberFormat="1" applyFont="1" applyBorder="1" applyAlignment="1">
      <alignment horizontal="center"/>
    </xf>
    <xf numFmtId="166" fontId="31" fillId="0" borderId="1" xfId="0" applyNumberFormat="1" applyFont="1" applyBorder="1" applyAlignment="1">
      <alignment horizontal="center" vertical="center"/>
    </xf>
    <xf numFmtId="166" fontId="30" fillId="10" borderId="1" xfId="0" applyNumberFormat="1" applyFont="1" applyFill="1" applyBorder="1" applyAlignment="1">
      <alignment horizontal="center" vertical="center"/>
    </xf>
    <xf numFmtId="166" fontId="30" fillId="10" borderId="1" xfId="0" applyNumberFormat="1" applyFont="1" applyFill="1" applyBorder="1" applyAlignment="1">
      <alignment horizontal="center" vertical="center" wrapText="1"/>
    </xf>
    <xf numFmtId="0" fontId="4" fillId="0" borderId="1" xfId="2" applyBorder="1" applyAlignment="1">
      <alignment horizontal="center" vertical="center" wrapText="1"/>
    </xf>
    <xf numFmtId="0" fontId="40"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vertical="center" wrapText="1"/>
    </xf>
    <xf numFmtId="0" fontId="2" fillId="11" borderId="1" xfId="0" applyFont="1" applyFill="1" applyBorder="1" applyAlignment="1">
      <alignment horizontal="center" vertical="center" wrapText="1"/>
    </xf>
    <xf numFmtId="0" fontId="31" fillId="0" borderId="11" xfId="0" applyFont="1" applyBorder="1" applyAlignment="1">
      <alignment horizontal="center" vertical="center"/>
    </xf>
    <xf numFmtId="164" fontId="32" fillId="0" borderId="11" xfId="0" applyNumberFormat="1" applyFont="1" applyBorder="1" applyAlignment="1">
      <alignment horizontal="center" vertical="center"/>
    </xf>
    <xf numFmtId="20" fontId="31" fillId="0" borderId="11" xfId="0" applyNumberFormat="1" applyFont="1" applyBorder="1" applyAlignment="1">
      <alignment horizontal="center" vertical="center"/>
    </xf>
    <xf numFmtId="0" fontId="31" fillId="11" borderId="11" xfId="0" applyFont="1" applyFill="1" applyBorder="1" applyAlignment="1">
      <alignment horizontal="center" vertical="center"/>
    </xf>
    <xf numFmtId="0" fontId="31" fillId="0" borderId="11" xfId="0" applyFont="1" applyBorder="1" applyAlignment="1">
      <alignment horizontal="center" vertical="center" wrapText="1"/>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164" fontId="32" fillId="0" borderId="1" xfId="0" applyNumberFormat="1" applyFont="1" applyBorder="1" applyAlignment="1">
      <alignment horizontal="center" vertical="center"/>
    </xf>
    <xf numFmtId="0" fontId="28" fillId="0" borderId="7" xfId="0" applyFont="1" applyBorder="1" applyAlignment="1">
      <alignment horizontal="center" vertical="center"/>
    </xf>
    <xf numFmtId="0" fontId="28" fillId="0" borderId="8" xfId="0" applyFont="1" applyBorder="1" applyAlignment="1">
      <alignment horizontal="center" vertical="center"/>
    </xf>
    <xf numFmtId="0" fontId="28" fillId="0" borderId="10" xfId="0" applyFont="1" applyBorder="1" applyAlignment="1">
      <alignment horizontal="center" vertical="center"/>
    </xf>
    <xf numFmtId="0" fontId="28" fillId="0" borderId="4" xfId="0" applyFont="1" applyBorder="1" applyAlignment="1">
      <alignment horizontal="center" vertical="center"/>
    </xf>
    <xf numFmtId="0" fontId="27" fillId="5" borderId="7" xfId="0" applyFont="1" applyFill="1" applyBorder="1" applyAlignment="1">
      <alignment horizontal="center" vertical="center"/>
    </xf>
    <xf numFmtId="0" fontId="27" fillId="5" borderId="8" xfId="0" applyFont="1" applyFill="1" applyBorder="1" applyAlignment="1">
      <alignment horizontal="center" vertical="center"/>
    </xf>
    <xf numFmtId="0" fontId="29" fillId="8" borderId="7" xfId="0" applyFont="1" applyFill="1" applyBorder="1" applyAlignment="1">
      <alignment horizontal="center" vertical="center"/>
    </xf>
    <xf numFmtId="0" fontId="29" fillId="8" borderId="10" xfId="0" applyFont="1" applyFill="1" applyBorder="1" applyAlignment="1">
      <alignment horizontal="center" vertical="center"/>
    </xf>
    <xf numFmtId="0" fontId="29" fillId="8" borderId="4" xfId="0" applyFont="1" applyFill="1" applyBorder="1" applyAlignment="1">
      <alignment horizontal="center" vertical="center"/>
    </xf>
    <xf numFmtId="0" fontId="27" fillId="8" borderId="7" xfId="0" applyFont="1" applyFill="1" applyBorder="1" applyAlignment="1">
      <alignment horizontal="center" vertical="center"/>
    </xf>
    <xf numFmtId="0" fontId="27" fillId="8" borderId="8" xfId="0" applyFont="1" applyFill="1" applyBorder="1" applyAlignment="1">
      <alignment horizontal="center"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29" fillId="0" borderId="7"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4" xfId="0" applyFont="1" applyBorder="1" applyAlignment="1">
      <alignment horizontal="center" vertical="center" wrapText="1"/>
    </xf>
    <xf numFmtId="0" fontId="34" fillId="7" borderId="1" xfId="3" applyFont="1" applyFill="1" applyBorder="1" applyAlignment="1">
      <alignment horizontal="center" vertical="center"/>
    </xf>
    <xf numFmtId="0" fontId="48" fillId="0" borderId="0" xfId="3" applyFont="1"/>
    <xf numFmtId="49" fontId="47" fillId="0" borderId="1" xfId="3" applyNumberFormat="1" applyBorder="1" applyAlignment="1">
      <alignment horizontal="center"/>
    </xf>
    <xf numFmtId="49" fontId="47" fillId="0" borderId="0" xfId="3" applyNumberFormat="1"/>
  </cellXfs>
  <cellStyles count="4">
    <cellStyle name="Hyperlink" xfId="1" builtinId="8"/>
    <cellStyle name="Normal" xfId="0" builtinId="0"/>
    <cellStyle name="Normal 2" xfId="3" xr:uid="{3A49D98A-FD40-4684-9C4C-1ECC709F8FBB}"/>
    <cellStyle name="Normal 6" xfId="2" xr:uid="{F923BC3C-217E-4BDF-AD05-9A018CAB834C}"/>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mailto:rameshkumar.m@think-gas.com" TargetMode="External"/><Relationship Id="rId18" Type="http://schemas.openxmlformats.org/officeDocument/2006/relationships/hyperlink" Target="mailto:chirag.patel@agppratham.com%20%20%20%20%20%20%20%20Gautam%20Anand" TargetMode="External"/><Relationship Id="rId26" Type="http://schemas.openxmlformats.org/officeDocument/2006/relationships/hyperlink" Target="mailto:srinath.kumar@agppratham.com" TargetMode="External"/><Relationship Id="rId39" Type="http://schemas.openxmlformats.org/officeDocument/2006/relationships/hyperlink" Target="mailto:Tushar.Bari@think-gas.com" TargetMode="External"/><Relationship Id="rId21" Type="http://schemas.openxmlformats.org/officeDocument/2006/relationships/hyperlink" Target="mailto:k.radhakrishnan@agppratham.com" TargetMode="External"/><Relationship Id="rId34" Type="http://schemas.openxmlformats.org/officeDocument/2006/relationships/hyperlink" Target="mailto:amit.singh@think-gas.com" TargetMode="External"/><Relationship Id="rId42" Type="http://schemas.openxmlformats.org/officeDocument/2006/relationships/hyperlink" Target="mailto:Vijay.Tiwari@think-gas.com" TargetMode="External"/><Relationship Id="rId47" Type="http://schemas.openxmlformats.org/officeDocument/2006/relationships/hyperlink" Target="mailto:darpan.chaudhary@think-gas.com" TargetMode="External"/><Relationship Id="rId50" Type="http://schemas.openxmlformats.org/officeDocument/2006/relationships/hyperlink" Target="mailto:Gaurav.Sabharwal@think-gas.com" TargetMode="External"/><Relationship Id="rId7" Type="http://schemas.openxmlformats.org/officeDocument/2006/relationships/hyperlink" Target="mailto:lokesh.s@agppratham.com" TargetMode="External"/><Relationship Id="rId2" Type="http://schemas.openxmlformats.org/officeDocument/2006/relationships/hyperlink" Target="mailto:sunilkumar.s@agppratham.com" TargetMode="External"/><Relationship Id="rId16" Type="http://schemas.openxmlformats.org/officeDocument/2006/relationships/hyperlink" Target="mailto:ranjit.singh@agppratham.com" TargetMode="External"/><Relationship Id="rId29" Type="http://schemas.openxmlformats.org/officeDocument/2006/relationships/hyperlink" Target="mailto:prudhvi.g@agppratham.com" TargetMode="External"/><Relationship Id="rId11" Type="http://schemas.openxmlformats.org/officeDocument/2006/relationships/hyperlink" Target="mailto:manikanta.bejawada@agppratham.com" TargetMode="External"/><Relationship Id="rId24" Type="http://schemas.openxmlformats.org/officeDocument/2006/relationships/hyperlink" Target="mailto:gautam.anand@agppratham.com" TargetMode="External"/><Relationship Id="rId32" Type="http://schemas.openxmlformats.org/officeDocument/2006/relationships/hyperlink" Target="mailto:pawan.jawanjal@think-gas.com" TargetMode="External"/><Relationship Id="rId37" Type="http://schemas.openxmlformats.org/officeDocument/2006/relationships/hyperlink" Target="mailto:mohammad.kabeer@think-gas.com" TargetMode="External"/><Relationship Id="rId40" Type="http://schemas.openxmlformats.org/officeDocument/2006/relationships/hyperlink" Target="mailto:Durga.Shankar@think-gas.com" TargetMode="External"/><Relationship Id="rId45" Type="http://schemas.openxmlformats.org/officeDocument/2006/relationships/hyperlink" Target="mailto:priyank.jain@think-gas.com" TargetMode="External"/><Relationship Id="rId5" Type="http://schemas.openxmlformats.org/officeDocument/2006/relationships/hyperlink" Target="mailto:ajeet.kumar@agppratham.com" TargetMode="External"/><Relationship Id="rId15" Type="http://schemas.openxmlformats.org/officeDocument/2006/relationships/hyperlink" Target="mailto:c.logistics.tirupathi@think-gas.com" TargetMode="External"/><Relationship Id="rId23" Type="http://schemas.openxmlformats.org/officeDocument/2006/relationships/hyperlink" Target="mailto:sumit.dutta@agppratham.com" TargetMode="External"/><Relationship Id="rId28" Type="http://schemas.openxmlformats.org/officeDocument/2006/relationships/hyperlink" Target="mailto:prayag.mishra@agppratham.com" TargetMode="External"/><Relationship Id="rId36" Type="http://schemas.openxmlformats.org/officeDocument/2006/relationships/hyperlink" Target="mailto:martinraju@think-gas.com" TargetMode="External"/><Relationship Id="rId49" Type="http://schemas.openxmlformats.org/officeDocument/2006/relationships/hyperlink" Target="mailto:vishalgiri.goswami@think-gas.com" TargetMode="External"/><Relationship Id="rId10" Type="http://schemas.openxmlformats.org/officeDocument/2006/relationships/hyperlink" Target="mailto:shridhar.sb@agppratham.com" TargetMode="External"/><Relationship Id="rId19" Type="http://schemas.openxmlformats.org/officeDocument/2006/relationships/hyperlink" Target="mailto:sharath.shetty@think-gas.com" TargetMode="External"/><Relationship Id="rId31" Type="http://schemas.openxmlformats.org/officeDocument/2006/relationships/hyperlink" Target="mailto:santhosh.a@think-gas.com" TargetMode="External"/><Relationship Id="rId44" Type="http://schemas.openxmlformats.org/officeDocument/2006/relationships/hyperlink" Target="mailto:Gaurav.Sabharwal@think-gas.com" TargetMode="External"/><Relationship Id="rId4" Type="http://schemas.openxmlformats.org/officeDocument/2006/relationships/hyperlink" Target="mailto:vijay.r@agppratham.com" TargetMode="External"/><Relationship Id="rId9" Type="http://schemas.openxmlformats.org/officeDocument/2006/relationships/hyperlink" Target="mailto:sarathkumar.v@agppratham.com" TargetMode="External"/><Relationship Id="rId14" Type="http://schemas.openxmlformats.org/officeDocument/2006/relationships/hyperlink" Target="mailto:dhamodaran.rajendran@think-gas.com" TargetMode="External"/><Relationship Id="rId22" Type="http://schemas.openxmlformats.org/officeDocument/2006/relationships/hyperlink" Target="mailto:santosh.kulkarni@agppratham.com" TargetMode="External"/><Relationship Id="rId27" Type="http://schemas.openxmlformats.org/officeDocument/2006/relationships/hyperlink" Target="mailto:arun.kumark@agppratham.com" TargetMode="External"/><Relationship Id="rId30" Type="http://schemas.openxmlformats.org/officeDocument/2006/relationships/hyperlink" Target="mailto:vinay.kumar@think-gas.com" TargetMode="External"/><Relationship Id="rId35" Type="http://schemas.openxmlformats.org/officeDocument/2006/relationships/hyperlink" Target="mailto:rameshkumar.m@think-gas.com" TargetMode="External"/><Relationship Id="rId43" Type="http://schemas.openxmlformats.org/officeDocument/2006/relationships/hyperlink" Target="mailto:darpan.chaudhary@think-gas.com" TargetMode="External"/><Relationship Id="rId48" Type="http://schemas.openxmlformats.org/officeDocument/2006/relationships/hyperlink" Target="mailto:darpan.chaudhary@think-gas.com" TargetMode="External"/><Relationship Id="rId8" Type="http://schemas.openxmlformats.org/officeDocument/2006/relationships/hyperlink" Target="mailto:chaithanya.indaje@agppratham.com" TargetMode="External"/><Relationship Id="rId51" Type="http://schemas.openxmlformats.org/officeDocument/2006/relationships/hyperlink" Target="mailto:rmd.logistics@think-gas.com" TargetMode="External"/><Relationship Id="rId3" Type="http://schemas.openxmlformats.org/officeDocument/2006/relationships/hyperlink" Target="mailto:sampath.kumar@agppratham.com" TargetMode="External"/><Relationship Id="rId12" Type="http://schemas.openxmlformats.org/officeDocument/2006/relationships/hyperlink" Target="mailto:mazhar.ahmed@agppratham.com" TargetMode="External"/><Relationship Id="rId17" Type="http://schemas.openxmlformats.org/officeDocument/2006/relationships/hyperlink" Target="mailto:vinay.kumar@think-gas.com" TargetMode="External"/><Relationship Id="rId25" Type="http://schemas.openxmlformats.org/officeDocument/2006/relationships/hyperlink" Target="mailto:nitin.huilgol@agppratham.com" TargetMode="External"/><Relationship Id="rId33" Type="http://schemas.openxmlformats.org/officeDocument/2006/relationships/hyperlink" Target="mailto:sebastian.stalin@think-gas.com" TargetMode="External"/><Relationship Id="rId38" Type="http://schemas.openxmlformats.org/officeDocument/2006/relationships/hyperlink" Target="mailto:Parush.Kohli@think-gas.com" TargetMode="External"/><Relationship Id="rId46" Type="http://schemas.openxmlformats.org/officeDocument/2006/relationships/hyperlink" Target="mailto:priyank.jain@think-gas.com" TargetMode="External"/><Relationship Id="rId20" Type="http://schemas.openxmlformats.org/officeDocument/2006/relationships/hyperlink" Target="mailto:nitin.huilgol@agppratham.com" TargetMode="External"/><Relationship Id="rId41" Type="http://schemas.openxmlformats.org/officeDocument/2006/relationships/hyperlink" Target="mailto:Prabhakar.Kumar@think-gas.com" TargetMode="External"/><Relationship Id="rId1" Type="http://schemas.openxmlformats.org/officeDocument/2006/relationships/hyperlink" Target="mailto:sushil.rk@agppratham.com" TargetMode="External"/><Relationship Id="rId6" Type="http://schemas.openxmlformats.org/officeDocument/2006/relationships/hyperlink" Target="mailto:dhamodaran.rajendran@think-gas.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Rakesh.singh@think-gas.com" TargetMode="External"/><Relationship Id="rId7" Type="http://schemas.openxmlformats.org/officeDocument/2006/relationships/hyperlink" Target="mailto:Gurinder.verma@think-gas.com" TargetMode="External"/><Relationship Id="rId2" Type="http://schemas.openxmlformats.org/officeDocument/2006/relationships/hyperlink" Target="mailto:Vijay.kumar@think-gas.com" TargetMode="External"/><Relationship Id="rId1" Type="http://schemas.openxmlformats.org/officeDocument/2006/relationships/hyperlink" Target="mailto:Yogesh.bharmal@think-gas.com" TargetMode="External"/><Relationship Id="rId6" Type="http://schemas.openxmlformats.org/officeDocument/2006/relationships/hyperlink" Target="mailto:Yogesh.bharmal@think-gas.com" TargetMode="External"/><Relationship Id="rId5" Type="http://schemas.openxmlformats.org/officeDocument/2006/relationships/hyperlink" Target="mailto:Gurinder.verma@think-gas.com" TargetMode="External"/><Relationship Id="rId4" Type="http://schemas.openxmlformats.org/officeDocument/2006/relationships/hyperlink" Target="mailto:Gurinder.verma@think-ga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055D-37C8-4E5E-B709-2B17BF27E6D9}">
  <dimension ref="A1:U542"/>
  <sheetViews>
    <sheetView zoomScale="70" zoomScaleNormal="70" workbookViewId="0">
      <pane ySplit="1" topLeftCell="A533" activePane="bottomLeft" state="frozen"/>
      <selection activeCell="G60" sqref="G60"/>
      <selection pane="bottomLeft" activeCell="F550" sqref="F550"/>
    </sheetView>
  </sheetViews>
  <sheetFormatPr defaultColWidth="9.1796875" defaultRowHeight="18.5"/>
  <cols>
    <col min="1" max="1" width="6.1796875" style="29" bestFit="1" customWidth="1"/>
    <col min="2" max="2" width="13.453125" style="29" bestFit="1" customWidth="1"/>
    <col min="3" max="3" width="21.1796875" style="63" bestFit="1" customWidth="1"/>
    <col min="4" max="4" width="6.54296875" style="63" bestFit="1" customWidth="1"/>
    <col min="5" max="5" width="16.26953125" style="101" customWidth="1"/>
    <col min="6" max="6" width="39.81640625" style="63" customWidth="1"/>
    <col min="7" max="7" width="17.26953125" style="29" bestFit="1" customWidth="1"/>
    <col min="8" max="8" width="40.81640625" style="29" customWidth="1"/>
    <col min="9" max="9" width="31.54296875" style="29" customWidth="1"/>
    <col min="10" max="10" width="22" style="63" bestFit="1" customWidth="1"/>
    <col min="11" max="11" width="20.7265625" style="63" bestFit="1" customWidth="1"/>
    <col min="12" max="12" width="23.7265625" style="63" bestFit="1" customWidth="1"/>
    <col min="13" max="13" width="19.81640625" style="63" customWidth="1"/>
    <col min="14" max="14" width="15.81640625" style="101" bestFit="1" customWidth="1"/>
    <col min="15" max="15" width="104.81640625" style="29" customWidth="1"/>
    <col min="16" max="16" width="8.7265625" style="29" bestFit="1" customWidth="1"/>
    <col min="17" max="18" width="9.1796875" style="74"/>
    <col min="19" max="19" width="23.453125" style="74" bestFit="1" customWidth="1"/>
    <col min="20" max="21" width="17.81640625" style="74" bestFit="1" customWidth="1"/>
    <col min="22" max="16384" width="9.1796875" style="74"/>
  </cols>
  <sheetData>
    <row r="1" spans="1:21" customFormat="1" ht="37">
      <c r="A1" s="27" t="s">
        <v>0</v>
      </c>
      <c r="B1" s="27" t="s">
        <v>1</v>
      </c>
      <c r="C1" s="27" t="s">
        <v>2</v>
      </c>
      <c r="D1" s="27" t="s">
        <v>3</v>
      </c>
      <c r="E1" s="103" t="s">
        <v>4</v>
      </c>
      <c r="F1" s="27" t="s">
        <v>5</v>
      </c>
      <c r="G1" s="27" t="s">
        <v>120</v>
      </c>
      <c r="H1" s="27" t="s">
        <v>6</v>
      </c>
      <c r="I1" s="27" t="s">
        <v>7</v>
      </c>
      <c r="J1" s="27" t="s">
        <v>8</v>
      </c>
      <c r="K1" s="27" t="s">
        <v>9</v>
      </c>
      <c r="L1" s="27" t="s">
        <v>10</v>
      </c>
      <c r="M1" s="27" t="s">
        <v>11</v>
      </c>
      <c r="N1" s="102" t="s">
        <v>12</v>
      </c>
      <c r="O1" s="27" t="s">
        <v>13</v>
      </c>
      <c r="P1" s="27" t="s">
        <v>14</v>
      </c>
    </row>
    <row r="2" spans="1:21">
      <c r="A2" s="29">
        <v>1</v>
      </c>
      <c r="B2" s="75">
        <v>46082</v>
      </c>
      <c r="C2" s="63" t="s">
        <v>27</v>
      </c>
      <c r="D2" s="63" t="s">
        <v>16</v>
      </c>
      <c r="E2" s="101">
        <v>3.0555555555555555E-2</v>
      </c>
      <c r="F2" s="64" t="str">
        <f>VLOOKUP(G2,'Vehicle List'!A:C,3,0)</f>
        <v>Rahul Roadlines</v>
      </c>
      <c r="G2" s="29" t="s">
        <v>608</v>
      </c>
      <c r="H2" s="29" t="s">
        <v>1043</v>
      </c>
      <c r="I2" s="29" t="s">
        <v>1044</v>
      </c>
      <c r="J2" s="64" t="str">
        <f>VLOOKUP(G2,'Vehicle List'!A:D,4,0)</f>
        <v>Ennore</v>
      </c>
      <c r="K2" s="64" t="s">
        <v>29</v>
      </c>
      <c r="L2" s="64" t="s">
        <v>19</v>
      </c>
      <c r="M2" s="64" t="s">
        <v>19</v>
      </c>
      <c r="N2" s="101">
        <v>3.0555555555555555E-2</v>
      </c>
      <c r="O2" s="29" t="s">
        <v>1062</v>
      </c>
      <c r="P2" s="29" t="s">
        <v>30</v>
      </c>
      <c r="S2" s="29" t="s">
        <v>1171</v>
      </c>
      <c r="T2" s="29" t="s">
        <v>1172</v>
      </c>
      <c r="U2" s="29" t="s">
        <v>20</v>
      </c>
    </row>
    <row r="3" spans="1:21">
      <c r="A3" s="29">
        <f t="shared" ref="A3:A66" si="0">A2+1</f>
        <v>2</v>
      </c>
      <c r="B3" s="75">
        <v>46082</v>
      </c>
      <c r="C3" s="63" t="s">
        <v>27</v>
      </c>
      <c r="D3" s="63" t="s">
        <v>16</v>
      </c>
      <c r="E3" s="101">
        <v>0.22916666666666666</v>
      </c>
      <c r="F3" s="64" t="str">
        <f>VLOOKUP(G3,'Vehicle List'!A:C,3,0)</f>
        <v>Rahul Roadlines</v>
      </c>
      <c r="G3" s="29" t="s">
        <v>614</v>
      </c>
      <c r="H3" s="29" t="s">
        <v>1087</v>
      </c>
      <c r="I3" s="29" t="s">
        <v>1088</v>
      </c>
      <c r="J3" s="64" t="str">
        <f>VLOOKUP(G3,'Vehicle List'!A:D,4,0)</f>
        <v>Hazira</v>
      </c>
      <c r="K3" s="64" t="s">
        <v>29</v>
      </c>
      <c r="L3" s="64" t="s">
        <v>19</v>
      </c>
      <c r="M3" s="64" t="s">
        <v>19</v>
      </c>
      <c r="N3" s="101">
        <v>0.22916666666666666</v>
      </c>
      <c r="O3" s="29" t="s">
        <v>1062</v>
      </c>
      <c r="P3" s="29" t="s">
        <v>30</v>
      </c>
      <c r="S3" s="29" t="s">
        <v>24</v>
      </c>
      <c r="T3" s="29" t="s">
        <v>1172</v>
      </c>
      <c r="U3" s="29" t="s">
        <v>20</v>
      </c>
    </row>
    <row r="4" spans="1:21">
      <c r="A4" s="29">
        <f t="shared" si="0"/>
        <v>3</v>
      </c>
      <c r="B4" s="75">
        <v>46082</v>
      </c>
      <c r="C4" s="63" t="s">
        <v>85</v>
      </c>
      <c r="D4" s="63" t="s">
        <v>28</v>
      </c>
      <c r="E4" s="101">
        <v>0.28819444444444442</v>
      </c>
      <c r="F4" s="64" t="str">
        <f>VLOOKUP(G4,'Vehicle List'!A:C,3,0)</f>
        <v>Rahul Roadlines</v>
      </c>
      <c r="G4" s="29" t="s">
        <v>62</v>
      </c>
      <c r="H4" s="29" t="s">
        <v>1115</v>
      </c>
      <c r="I4" s="29" t="s">
        <v>1108</v>
      </c>
      <c r="J4" s="64" t="str">
        <f>VLOOKUP(G4,'Vehicle List'!A:D,4,0)</f>
        <v>BJJ</v>
      </c>
      <c r="K4" s="64" t="s">
        <v>24</v>
      </c>
      <c r="L4" s="64" t="s">
        <v>19</v>
      </c>
      <c r="M4" s="64" t="s">
        <v>20</v>
      </c>
      <c r="N4" s="101">
        <v>0.34791666666666665</v>
      </c>
      <c r="O4" s="29" t="s">
        <v>1078</v>
      </c>
      <c r="P4" s="29" t="s">
        <v>21</v>
      </c>
      <c r="S4" s="29" t="s">
        <v>26</v>
      </c>
      <c r="T4" s="29" t="s">
        <v>1172</v>
      </c>
      <c r="U4" s="29" t="s">
        <v>20</v>
      </c>
    </row>
    <row r="5" spans="1:21">
      <c r="A5" s="29">
        <f t="shared" si="0"/>
        <v>4</v>
      </c>
      <c r="B5" s="75">
        <v>46082</v>
      </c>
      <c r="C5" s="63" t="s">
        <v>85</v>
      </c>
      <c r="D5" s="63" t="s">
        <v>28</v>
      </c>
      <c r="E5" s="101">
        <v>0.34375</v>
      </c>
      <c r="F5" s="64" t="str">
        <f>VLOOKUP(G5,'Vehicle List'!A:C,3,0)</f>
        <v>Kongunadu Roadlines</v>
      </c>
      <c r="G5" s="29" t="s">
        <v>44</v>
      </c>
      <c r="H5" s="29" t="s">
        <v>1083</v>
      </c>
      <c r="I5" s="29" t="s">
        <v>1084</v>
      </c>
      <c r="J5" s="64" t="str">
        <f>VLOOKUP(G5,'Vehicle List'!A:D,4,0)</f>
        <v>Vellore</v>
      </c>
      <c r="K5" s="64" t="s">
        <v>29</v>
      </c>
      <c r="L5" s="64" t="s">
        <v>19</v>
      </c>
      <c r="M5" s="64" t="s">
        <v>19</v>
      </c>
      <c r="N5" s="101">
        <v>0.34375</v>
      </c>
      <c r="O5" s="29" t="s">
        <v>1109</v>
      </c>
      <c r="P5" s="29" t="s">
        <v>30</v>
      </c>
      <c r="S5" s="29" t="s">
        <v>18</v>
      </c>
      <c r="T5" s="29" t="s">
        <v>1172</v>
      </c>
      <c r="U5" s="29" t="s">
        <v>20</v>
      </c>
    </row>
    <row r="6" spans="1:21">
      <c r="A6" s="29">
        <f t="shared" si="0"/>
        <v>5</v>
      </c>
      <c r="B6" s="75">
        <v>46082</v>
      </c>
      <c r="C6" s="63" t="s">
        <v>85</v>
      </c>
      <c r="D6" s="63" t="s">
        <v>28</v>
      </c>
      <c r="E6" s="101">
        <v>0.34583333333333333</v>
      </c>
      <c r="F6" s="64" t="str">
        <f>VLOOKUP(G6,'Vehicle List'!A:C,3,0)</f>
        <v>Kongunadu Roadlines</v>
      </c>
      <c r="G6" s="29" t="s">
        <v>74</v>
      </c>
      <c r="H6" s="29" t="s">
        <v>740</v>
      </c>
      <c r="I6" s="29" t="s">
        <v>741</v>
      </c>
      <c r="J6" s="64" t="str">
        <f>VLOOKUP(G6,'Vehicle List'!A:D,4,0)</f>
        <v>Ennore</v>
      </c>
      <c r="K6" s="64" t="s">
        <v>29</v>
      </c>
      <c r="L6" s="64" t="s">
        <v>19</v>
      </c>
      <c r="M6" s="64" t="s">
        <v>19</v>
      </c>
      <c r="N6" s="101">
        <v>0.34583333333333333</v>
      </c>
      <c r="O6" s="29" t="s">
        <v>1062</v>
      </c>
      <c r="P6" s="29" t="s">
        <v>21</v>
      </c>
      <c r="S6" s="29" t="s">
        <v>1173</v>
      </c>
      <c r="T6" s="29" t="s">
        <v>1172</v>
      </c>
      <c r="U6" s="29" t="s">
        <v>20</v>
      </c>
    </row>
    <row r="7" spans="1:21">
      <c r="A7" s="29">
        <f t="shared" si="0"/>
        <v>6</v>
      </c>
      <c r="B7" s="75">
        <v>46082</v>
      </c>
      <c r="C7" s="63" t="s">
        <v>85</v>
      </c>
      <c r="D7" s="63" t="s">
        <v>28</v>
      </c>
      <c r="E7" s="101">
        <v>0.41597222222222224</v>
      </c>
      <c r="F7" s="64" t="str">
        <f>VLOOKUP(G7,'Vehicle List'!A:C,3,0)</f>
        <v>Velan Gogreen Logistics Pvt Ltd</v>
      </c>
      <c r="G7" s="29" t="s">
        <v>34</v>
      </c>
      <c r="H7" s="29" t="s">
        <v>1086</v>
      </c>
      <c r="I7" s="29" t="s">
        <v>1120</v>
      </c>
      <c r="J7" s="64" t="str">
        <f>VLOOKUP(G7,'Vehicle List'!A:D,4,0)</f>
        <v>KNCP</v>
      </c>
      <c r="K7" s="64" t="s">
        <v>29</v>
      </c>
      <c r="L7" s="64" t="s">
        <v>19</v>
      </c>
      <c r="M7" s="64" t="s">
        <v>19</v>
      </c>
      <c r="N7" s="101">
        <v>0.41597222222222224</v>
      </c>
      <c r="O7" s="67" t="s">
        <v>1118</v>
      </c>
      <c r="P7" s="29" t="s">
        <v>30</v>
      </c>
      <c r="S7" s="29" t="s">
        <v>1174</v>
      </c>
      <c r="T7" s="29" t="s">
        <v>1172</v>
      </c>
      <c r="U7" s="29" t="s">
        <v>20</v>
      </c>
    </row>
    <row r="8" spans="1:21">
      <c r="A8" s="29">
        <f t="shared" si="0"/>
        <v>7</v>
      </c>
      <c r="B8" s="75">
        <v>46082</v>
      </c>
      <c r="C8" s="63" t="s">
        <v>85</v>
      </c>
      <c r="D8" s="63" t="s">
        <v>28</v>
      </c>
      <c r="E8" s="101">
        <v>0.3659722222222222</v>
      </c>
      <c r="F8" s="64" t="str">
        <f>VLOOKUP(G8,'Vehicle List'!A:C,3,0)</f>
        <v>Anisha Logistics</v>
      </c>
      <c r="G8" s="29" t="s">
        <v>483</v>
      </c>
      <c r="H8" s="29" t="s">
        <v>1116</v>
      </c>
      <c r="I8" s="29" t="s">
        <v>1117</v>
      </c>
      <c r="J8" s="64" t="str">
        <f>VLOOKUP(G8,'Vehicle List'!A:D,4,0)</f>
        <v>Bhopal</v>
      </c>
      <c r="K8" s="64" t="s">
        <v>26</v>
      </c>
      <c r="L8" s="64" t="s">
        <v>19</v>
      </c>
      <c r="M8" s="64" t="s">
        <v>20</v>
      </c>
      <c r="N8" s="101">
        <v>0.44444444444444442</v>
      </c>
      <c r="O8" s="29" t="s">
        <v>1096</v>
      </c>
      <c r="P8" s="29" t="s">
        <v>21</v>
      </c>
      <c r="S8" s="29" t="s">
        <v>1175</v>
      </c>
      <c r="T8" s="29" t="s">
        <v>1172</v>
      </c>
      <c r="U8" s="29" t="s">
        <v>20</v>
      </c>
    </row>
    <row r="9" spans="1:21">
      <c r="A9" s="29">
        <f t="shared" si="0"/>
        <v>8</v>
      </c>
      <c r="B9" s="75">
        <v>46082</v>
      </c>
      <c r="C9" s="63" t="s">
        <v>85</v>
      </c>
      <c r="D9" s="63" t="s">
        <v>28</v>
      </c>
      <c r="E9" s="101">
        <v>0.47569444444444442</v>
      </c>
      <c r="F9" s="64" t="str">
        <f>VLOOKUP(G9,'Vehicle List'!A:C,3,0)</f>
        <v>Rahul Roadlines</v>
      </c>
      <c r="G9" s="29" t="s">
        <v>105</v>
      </c>
      <c r="H9" s="29" t="s">
        <v>1119</v>
      </c>
      <c r="I9" s="29" t="s">
        <v>1082</v>
      </c>
      <c r="J9" s="64" t="str">
        <f>VLOOKUP(G9,'Vehicle List'!A:D,4,0)</f>
        <v>Ennore</v>
      </c>
      <c r="K9" s="64" t="s">
        <v>26</v>
      </c>
      <c r="L9" s="64" t="s">
        <v>19</v>
      </c>
      <c r="M9" s="64" t="s">
        <v>20</v>
      </c>
      <c r="N9" s="101">
        <v>0.4826388888888889</v>
      </c>
      <c r="O9" s="29" t="s">
        <v>1085</v>
      </c>
      <c r="P9" s="29" t="s">
        <v>21</v>
      </c>
      <c r="S9" s="29" t="s">
        <v>29</v>
      </c>
      <c r="T9" s="29" t="s">
        <v>19</v>
      </c>
      <c r="U9" s="29" t="s">
        <v>19</v>
      </c>
    </row>
    <row r="10" spans="1:21">
      <c r="A10" s="29">
        <f t="shared" si="0"/>
        <v>9</v>
      </c>
      <c r="B10" s="75">
        <v>46082</v>
      </c>
      <c r="C10" s="63" t="s">
        <v>1123</v>
      </c>
      <c r="D10" s="63" t="s">
        <v>39</v>
      </c>
      <c r="E10" s="101">
        <v>0.6166666666666667</v>
      </c>
      <c r="F10" s="64" t="str">
        <f>VLOOKUP(G10,'Vehicle List'!A:C,3,0)</f>
        <v>Kongunadu Roadlines</v>
      </c>
      <c r="G10" s="29" t="s">
        <v>387</v>
      </c>
      <c r="H10" s="29" t="s">
        <v>1180</v>
      </c>
      <c r="I10" s="29" t="s">
        <v>1181</v>
      </c>
      <c r="J10" s="64" t="str">
        <f>VLOOKUP(G10,'Vehicle List'!A:D,4,0)</f>
        <v>Chittoor</v>
      </c>
      <c r="K10" s="64" t="s">
        <v>29</v>
      </c>
      <c r="L10" s="64" t="s">
        <v>19</v>
      </c>
      <c r="M10" s="64" t="s">
        <v>19</v>
      </c>
      <c r="N10" s="101">
        <v>0.62222222222222223</v>
      </c>
      <c r="O10" s="29" t="s">
        <v>1182</v>
      </c>
      <c r="P10" s="29" t="s">
        <v>30</v>
      </c>
      <c r="S10" s="29" t="s">
        <v>1176</v>
      </c>
      <c r="T10" s="29" t="s">
        <v>19</v>
      </c>
      <c r="U10" s="29" t="s">
        <v>19</v>
      </c>
    </row>
    <row r="11" spans="1:21">
      <c r="A11" s="29">
        <f t="shared" si="0"/>
        <v>10</v>
      </c>
      <c r="B11" s="75">
        <v>46082</v>
      </c>
      <c r="C11" s="63" t="s">
        <v>1123</v>
      </c>
      <c r="D11" s="63" t="s">
        <v>39</v>
      </c>
      <c r="E11" s="101">
        <v>0.61875000000000002</v>
      </c>
      <c r="F11" s="64" t="str">
        <f>VLOOKUP(G11,'Vehicle List'!A:C,3,0)</f>
        <v>Expo Trans India Limited</v>
      </c>
      <c r="G11" s="29" t="s">
        <v>1122</v>
      </c>
      <c r="H11" s="29" t="s">
        <v>1184</v>
      </c>
      <c r="I11" s="29" t="s">
        <v>1183</v>
      </c>
      <c r="J11" s="64" t="str">
        <f>VLOOKUP(G11,'Vehicle List'!A:D,4,0)</f>
        <v>Bhopal</v>
      </c>
      <c r="K11" s="64" t="s">
        <v>29</v>
      </c>
      <c r="L11" s="64" t="s">
        <v>19</v>
      </c>
      <c r="M11" s="64" t="s">
        <v>19</v>
      </c>
      <c r="N11" s="101">
        <v>0.625</v>
      </c>
      <c r="O11" s="29" t="s">
        <v>1062</v>
      </c>
      <c r="P11" s="29" t="s">
        <v>21</v>
      </c>
      <c r="S11" s="29" t="s">
        <v>1177</v>
      </c>
      <c r="T11" s="29" t="s">
        <v>1172</v>
      </c>
      <c r="U11" s="29" t="s">
        <v>20</v>
      </c>
    </row>
    <row r="12" spans="1:21">
      <c r="A12" s="29">
        <f t="shared" si="0"/>
        <v>11</v>
      </c>
      <c r="B12" s="75">
        <v>46082</v>
      </c>
      <c r="C12" s="63" t="s">
        <v>1123</v>
      </c>
      <c r="D12" s="63" t="s">
        <v>39</v>
      </c>
      <c r="E12" s="101">
        <v>0.62569444444444444</v>
      </c>
      <c r="F12" s="64" t="str">
        <f>VLOOKUP(G12,'Vehicle List'!A:C,3,0)</f>
        <v>Kongunadu Roadlines</v>
      </c>
      <c r="G12" s="29" t="s">
        <v>314</v>
      </c>
      <c r="H12" s="29" t="s">
        <v>1186</v>
      </c>
      <c r="I12" s="29" t="s">
        <v>1185</v>
      </c>
      <c r="J12" s="64" t="str">
        <f>VLOOKUP(G12,'Vehicle List'!A:D,4,0)</f>
        <v>KNCP</v>
      </c>
      <c r="K12" s="64" t="s">
        <v>29</v>
      </c>
      <c r="L12" s="64" t="s">
        <v>19</v>
      </c>
      <c r="M12" s="64" t="s">
        <v>19</v>
      </c>
      <c r="N12" s="101">
        <v>0.62916666666666665</v>
      </c>
      <c r="O12" s="29" t="s">
        <v>1182</v>
      </c>
      <c r="P12" s="29" t="s">
        <v>30</v>
      </c>
      <c r="S12" s="29" t="s">
        <v>1178</v>
      </c>
      <c r="T12" s="29" t="s">
        <v>19</v>
      </c>
      <c r="U12" s="29" t="s">
        <v>20</v>
      </c>
    </row>
    <row r="13" spans="1:21">
      <c r="A13" s="29">
        <f t="shared" si="0"/>
        <v>12</v>
      </c>
      <c r="B13" s="75">
        <v>46082</v>
      </c>
      <c r="C13" s="63" t="s">
        <v>1123</v>
      </c>
      <c r="D13" s="63" t="s">
        <v>39</v>
      </c>
      <c r="E13" s="101">
        <v>0.62569444444444444</v>
      </c>
      <c r="F13" s="64" t="str">
        <f>VLOOKUP(G13,'Vehicle List'!A:C,3,0)</f>
        <v>Expo Trans India Limited</v>
      </c>
      <c r="G13" s="29" t="s">
        <v>287</v>
      </c>
      <c r="H13" s="29" t="s">
        <v>1187</v>
      </c>
      <c r="I13" s="29" t="s">
        <v>1188</v>
      </c>
      <c r="J13" s="64" t="str">
        <f>VLOOKUP(G13,'Vehicle List'!A:D,4,0)</f>
        <v>Kolar</v>
      </c>
      <c r="K13" s="64" t="s">
        <v>29</v>
      </c>
      <c r="L13" s="64" t="s">
        <v>19</v>
      </c>
      <c r="M13" s="64" t="s">
        <v>19</v>
      </c>
      <c r="N13" s="101">
        <v>0.63194444444444442</v>
      </c>
      <c r="O13" s="29" t="s">
        <v>1189</v>
      </c>
      <c r="P13" s="29" t="s">
        <v>30</v>
      </c>
      <c r="S13" s="29" t="s">
        <v>1179</v>
      </c>
      <c r="T13" s="29" t="s">
        <v>1172</v>
      </c>
      <c r="U13" s="29" t="s">
        <v>20</v>
      </c>
    </row>
    <row r="14" spans="1:21">
      <c r="A14" s="29">
        <f t="shared" si="0"/>
        <v>13</v>
      </c>
      <c r="B14" s="75">
        <v>46082</v>
      </c>
      <c r="C14" s="63" t="s">
        <v>1123</v>
      </c>
      <c r="D14" s="63" t="s">
        <v>39</v>
      </c>
      <c r="E14" s="101">
        <v>0.7006944444444444</v>
      </c>
      <c r="F14" s="64" t="str">
        <f>VLOOKUP(G14,'Vehicle List'!A:C,3,0)</f>
        <v>Kongunadu Roadlines</v>
      </c>
      <c r="G14" s="29" t="s">
        <v>318</v>
      </c>
      <c r="H14" s="29" t="s">
        <v>1190</v>
      </c>
      <c r="I14" s="29" t="s">
        <v>1191</v>
      </c>
      <c r="J14" s="64" t="str">
        <f>VLOOKUP(G14,'Vehicle List'!A:D,4,0)</f>
        <v>KNCP</v>
      </c>
      <c r="K14" s="64" t="s">
        <v>29</v>
      </c>
      <c r="L14" s="64" t="s">
        <v>19</v>
      </c>
      <c r="M14" s="64" t="s">
        <v>19</v>
      </c>
      <c r="N14" s="101">
        <v>0.70347222222222228</v>
      </c>
      <c r="O14" s="29" t="s">
        <v>1192</v>
      </c>
      <c r="P14" s="29" t="s">
        <v>30</v>
      </c>
    </row>
    <row r="15" spans="1:21">
      <c r="A15" s="29">
        <f t="shared" si="0"/>
        <v>14</v>
      </c>
      <c r="B15" s="75">
        <v>46082</v>
      </c>
      <c r="C15" s="63" t="s">
        <v>1123</v>
      </c>
      <c r="D15" s="63" t="s">
        <v>39</v>
      </c>
      <c r="E15" s="101">
        <v>0.70138888888888884</v>
      </c>
      <c r="F15" s="64" t="str">
        <f>VLOOKUP(G15,'Vehicle List'!A:C,3,0)</f>
        <v>Dhinesh Transports</v>
      </c>
      <c r="G15" s="29" t="s">
        <v>370</v>
      </c>
      <c r="H15" s="29" t="s">
        <v>1193</v>
      </c>
      <c r="I15" s="29" t="s">
        <v>1194</v>
      </c>
      <c r="J15" s="64" t="str">
        <f>VLOOKUP(G15,'Vehicle List'!A:D,4,0)</f>
        <v>KNCP</v>
      </c>
      <c r="K15" s="64" t="s">
        <v>29</v>
      </c>
      <c r="L15" s="64" t="s">
        <v>19</v>
      </c>
      <c r="M15" s="64" t="s">
        <v>19</v>
      </c>
      <c r="N15" s="101">
        <v>0.70486111111111116</v>
      </c>
      <c r="O15" s="29" t="s">
        <v>1195</v>
      </c>
      <c r="P15" s="29" t="s">
        <v>21</v>
      </c>
    </row>
    <row r="16" spans="1:21">
      <c r="A16" s="29">
        <f t="shared" si="0"/>
        <v>15</v>
      </c>
      <c r="B16" s="75">
        <v>46082</v>
      </c>
      <c r="C16" s="63" t="s">
        <v>1123</v>
      </c>
      <c r="D16" s="63" t="s">
        <v>39</v>
      </c>
      <c r="E16" s="101">
        <v>0.69652777777777775</v>
      </c>
      <c r="F16" s="64" t="str">
        <f>VLOOKUP(G16,'Vehicle List'!A:C,3,0)</f>
        <v>Oraya Gas India Pvt.Ltd.</v>
      </c>
      <c r="G16" s="29" t="s">
        <v>100</v>
      </c>
      <c r="H16" s="29" t="s">
        <v>1197</v>
      </c>
      <c r="I16" s="29" t="s">
        <v>1196</v>
      </c>
      <c r="J16" s="64" t="str">
        <f>VLOOKUP(G16,'Vehicle List'!A:D,4,0)</f>
        <v>Dahej</v>
      </c>
      <c r="K16" s="64" t="s">
        <v>26</v>
      </c>
      <c r="L16" s="64" t="s">
        <v>19</v>
      </c>
      <c r="M16" s="64" t="s">
        <v>20</v>
      </c>
      <c r="N16" s="101">
        <v>0.71527777777777779</v>
      </c>
      <c r="O16" s="29" t="s">
        <v>1124</v>
      </c>
      <c r="P16" s="29" t="s">
        <v>21</v>
      </c>
    </row>
    <row r="17" spans="1:16">
      <c r="A17" s="29">
        <f t="shared" si="0"/>
        <v>16</v>
      </c>
      <c r="B17" s="75">
        <v>46082</v>
      </c>
      <c r="C17" s="63" t="s">
        <v>1123</v>
      </c>
      <c r="D17" s="63" t="s">
        <v>39</v>
      </c>
      <c r="E17" s="101">
        <v>0.74861111111111112</v>
      </c>
      <c r="F17" s="64" t="str">
        <f>VLOOKUP(G17,'Vehicle List'!A:C,3,0)</f>
        <v>Rahul Roadlines</v>
      </c>
      <c r="G17" s="29" t="s">
        <v>608</v>
      </c>
      <c r="H17" s="29" t="s">
        <v>1043</v>
      </c>
      <c r="I17" s="29" t="s">
        <v>1044</v>
      </c>
      <c r="J17" s="64" t="str">
        <f>VLOOKUP(G17,'Vehicle List'!A:D,4,0)</f>
        <v>Ennore</v>
      </c>
      <c r="K17" s="64" t="s">
        <v>29</v>
      </c>
      <c r="L17" s="64" t="s">
        <v>19</v>
      </c>
      <c r="M17" s="64" t="s">
        <v>19</v>
      </c>
      <c r="N17" s="101">
        <v>0.75069444444444444</v>
      </c>
      <c r="O17" s="29" t="s">
        <v>1245</v>
      </c>
      <c r="P17" s="29" t="s">
        <v>30</v>
      </c>
    </row>
    <row r="18" spans="1:16">
      <c r="A18" s="29">
        <f t="shared" si="0"/>
        <v>17</v>
      </c>
      <c r="B18" s="75">
        <v>46082</v>
      </c>
      <c r="C18" s="63" t="s">
        <v>1123</v>
      </c>
      <c r="D18" s="63" t="s">
        <v>39</v>
      </c>
      <c r="E18" s="101">
        <v>0.81180555555555556</v>
      </c>
      <c r="F18" s="64" t="str">
        <f>VLOOKUP(G18,'Vehicle List'!A:C,3,0)</f>
        <v>Kongunadu Roadlines</v>
      </c>
      <c r="G18" s="29" t="s">
        <v>99</v>
      </c>
      <c r="H18" s="29" t="s">
        <v>1200</v>
      </c>
      <c r="I18" s="29" t="s">
        <v>1199</v>
      </c>
      <c r="J18" s="64" t="str">
        <f>VLOOKUP(G18,'Vehicle List'!A:D,4,0)</f>
        <v>Ennore</v>
      </c>
      <c r="K18" s="64" t="s">
        <v>29</v>
      </c>
      <c r="L18" s="64" t="s">
        <v>19</v>
      </c>
      <c r="M18" s="64" t="s">
        <v>19</v>
      </c>
      <c r="N18" s="101">
        <v>0.81388888888888888</v>
      </c>
      <c r="O18" s="29" t="s">
        <v>1198</v>
      </c>
      <c r="P18" s="29" t="s">
        <v>30</v>
      </c>
    </row>
    <row r="19" spans="1:16">
      <c r="A19" s="29">
        <f t="shared" si="0"/>
        <v>18</v>
      </c>
      <c r="B19" s="75">
        <v>46082</v>
      </c>
      <c r="C19" s="63" t="s">
        <v>1123</v>
      </c>
      <c r="D19" s="63" t="s">
        <v>39</v>
      </c>
      <c r="E19" s="101">
        <v>0.80902777777777779</v>
      </c>
      <c r="F19" s="64" t="str">
        <f>VLOOKUP(G19,'Vehicle List'!A:C,3,0)</f>
        <v>Rahul Roadlines</v>
      </c>
      <c r="G19" s="29" t="s">
        <v>105</v>
      </c>
      <c r="H19" s="29" t="s">
        <v>1201</v>
      </c>
      <c r="I19" s="29" t="s">
        <v>1082</v>
      </c>
      <c r="J19" s="64" t="str">
        <f>VLOOKUP(G19,'Vehicle List'!A:D,4,0)</f>
        <v>Ennore</v>
      </c>
      <c r="K19" s="64" t="s">
        <v>29</v>
      </c>
      <c r="L19" s="64" t="s">
        <v>19</v>
      </c>
      <c r="M19" s="64" t="s">
        <v>19</v>
      </c>
      <c r="N19" s="101">
        <v>0.81597222222222221</v>
      </c>
      <c r="O19" s="29" t="s">
        <v>1182</v>
      </c>
      <c r="P19" s="29" t="s">
        <v>30</v>
      </c>
    </row>
    <row r="20" spans="1:16">
      <c r="A20" s="29">
        <f t="shared" si="0"/>
        <v>19</v>
      </c>
      <c r="B20" s="75">
        <v>46082</v>
      </c>
      <c r="C20" s="63" t="s">
        <v>27</v>
      </c>
      <c r="D20" s="63" t="s">
        <v>16</v>
      </c>
      <c r="E20" s="101">
        <v>0.92569444444444449</v>
      </c>
      <c r="F20" s="64" t="str">
        <f>VLOOKUP(G20,'Vehicle List'!A:C,3,0)</f>
        <v>Anmol Transport</v>
      </c>
      <c r="G20" s="29" t="s">
        <v>552</v>
      </c>
      <c r="H20" s="29" t="s">
        <v>1210</v>
      </c>
      <c r="I20" s="29" t="s">
        <v>1209</v>
      </c>
      <c r="J20" s="64" t="str">
        <f>VLOOKUP(G20,'Vehicle List'!A:D,4,0)</f>
        <v>Jalandhar</v>
      </c>
      <c r="K20" s="64" t="s">
        <v>26</v>
      </c>
      <c r="L20" s="64" t="s">
        <v>19</v>
      </c>
      <c r="M20" s="64" t="s">
        <v>20</v>
      </c>
      <c r="N20" s="101">
        <v>0.92569444444444449</v>
      </c>
      <c r="O20" s="29" t="s">
        <v>1204</v>
      </c>
      <c r="P20" s="29" t="s">
        <v>21</v>
      </c>
    </row>
    <row r="21" spans="1:16">
      <c r="A21" s="29">
        <f t="shared" si="0"/>
        <v>20</v>
      </c>
      <c r="B21" s="75">
        <v>46082</v>
      </c>
      <c r="C21" s="63" t="s">
        <v>27</v>
      </c>
      <c r="D21" s="63" t="s">
        <v>16</v>
      </c>
      <c r="E21" s="101">
        <v>0.93055555555555558</v>
      </c>
      <c r="F21" s="64" t="str">
        <f>VLOOKUP(G21,'Vehicle List'!A:C,3,0)</f>
        <v>Gas Point</v>
      </c>
      <c r="G21" s="29" t="s">
        <v>496</v>
      </c>
      <c r="H21" s="29" t="s">
        <v>1211</v>
      </c>
      <c r="I21" s="29" t="s">
        <v>1212</v>
      </c>
      <c r="J21" s="64" t="str">
        <f>VLOOKUP(G21,'Vehicle List'!A:D,4,0)</f>
        <v>Bhopal</v>
      </c>
      <c r="K21" s="64" t="s">
        <v>29</v>
      </c>
      <c r="L21" s="64" t="s">
        <v>19</v>
      </c>
      <c r="M21" s="64" t="s">
        <v>19</v>
      </c>
      <c r="N21" s="101">
        <v>0.93055555555555558</v>
      </c>
      <c r="O21" s="29" t="s">
        <v>1205</v>
      </c>
      <c r="P21" s="29" t="s">
        <v>21</v>
      </c>
    </row>
    <row r="22" spans="1:16">
      <c r="A22" s="29">
        <f t="shared" si="0"/>
        <v>21</v>
      </c>
      <c r="B22" s="75">
        <v>46082</v>
      </c>
      <c r="C22" s="63" t="s">
        <v>27</v>
      </c>
      <c r="D22" s="63" t="s">
        <v>16</v>
      </c>
      <c r="E22" s="101">
        <v>0.97847222222222219</v>
      </c>
      <c r="F22" s="64" t="str">
        <f>VLOOKUP(G22,'Vehicle List'!A:C,3,0)</f>
        <v>Expo Trans India Limited</v>
      </c>
      <c r="G22" s="29" t="s">
        <v>1113</v>
      </c>
      <c r="H22" s="29" t="s">
        <v>1214</v>
      </c>
      <c r="I22" s="29" t="s">
        <v>1213</v>
      </c>
      <c r="J22" s="64" t="str">
        <f>VLOOKUP(G22,'Vehicle List'!A:D,4,0)</f>
        <v>Kochi</v>
      </c>
      <c r="K22" s="64" t="s">
        <v>29</v>
      </c>
      <c r="L22" s="64" t="s">
        <v>19</v>
      </c>
      <c r="M22" s="64" t="s">
        <v>19</v>
      </c>
      <c r="N22" s="101">
        <v>0.97847222222222219</v>
      </c>
      <c r="O22" s="29" t="s">
        <v>1062</v>
      </c>
      <c r="P22" s="29" t="s">
        <v>30</v>
      </c>
    </row>
    <row r="23" spans="1:16">
      <c r="A23" s="29">
        <f t="shared" si="0"/>
        <v>22</v>
      </c>
      <c r="B23" s="75">
        <v>46083</v>
      </c>
      <c r="C23" s="63" t="s">
        <v>27</v>
      </c>
      <c r="D23" s="63" t="s">
        <v>16</v>
      </c>
      <c r="E23" s="101">
        <v>5.9027777777777776E-2</v>
      </c>
      <c r="F23" s="64" t="str">
        <f>VLOOKUP(G23,'Vehicle List'!A:C,3,0)</f>
        <v>Kongunadu Roadlines</v>
      </c>
      <c r="G23" s="29" t="s">
        <v>44</v>
      </c>
      <c r="H23" s="29" t="s">
        <v>1215</v>
      </c>
      <c r="I23" s="29" t="s">
        <v>1084</v>
      </c>
      <c r="J23" s="64" t="str">
        <f>VLOOKUP(G23,'Vehicle List'!A:D,4,0)</f>
        <v>Vellore</v>
      </c>
      <c r="K23" s="64" t="s">
        <v>29</v>
      </c>
      <c r="L23" s="64" t="s">
        <v>19</v>
      </c>
      <c r="M23" s="64" t="s">
        <v>19</v>
      </c>
      <c r="N23" s="101">
        <v>5.9027777777777776E-2</v>
      </c>
      <c r="O23" s="29" t="s">
        <v>1206</v>
      </c>
      <c r="P23" s="29" t="s">
        <v>30</v>
      </c>
    </row>
    <row r="24" spans="1:16">
      <c r="A24" s="29">
        <f t="shared" si="0"/>
        <v>23</v>
      </c>
      <c r="B24" s="75">
        <v>46083</v>
      </c>
      <c r="C24" s="63" t="s">
        <v>27</v>
      </c>
      <c r="D24" s="63" t="s">
        <v>16</v>
      </c>
      <c r="E24" s="101">
        <v>8.8888888888888892E-2</v>
      </c>
      <c r="F24" s="64" t="str">
        <f>VLOOKUP(G24,'Vehicle List'!A:C,3,0)</f>
        <v>Kongunadu Roadlines</v>
      </c>
      <c r="G24" s="29" t="s">
        <v>31</v>
      </c>
      <c r="H24" s="29" t="s">
        <v>1217</v>
      </c>
      <c r="I24" s="29" t="s">
        <v>1216</v>
      </c>
      <c r="J24" s="64" t="str">
        <f>VLOOKUP(G24,'Vehicle List'!A:D,4,0)</f>
        <v>Kochi</v>
      </c>
      <c r="K24" s="64" t="s">
        <v>29</v>
      </c>
      <c r="L24" s="64" t="s">
        <v>19</v>
      </c>
      <c r="M24" s="64" t="s">
        <v>19</v>
      </c>
      <c r="N24" s="101">
        <v>8.8888888888888892E-2</v>
      </c>
      <c r="O24" s="29" t="s">
        <v>1207</v>
      </c>
      <c r="P24" s="29" t="s">
        <v>30</v>
      </c>
    </row>
    <row r="25" spans="1:16">
      <c r="A25" s="29">
        <f t="shared" si="0"/>
        <v>24</v>
      </c>
      <c r="B25" s="75">
        <v>46083</v>
      </c>
      <c r="C25" s="63" t="s">
        <v>27</v>
      </c>
      <c r="D25" s="63" t="s">
        <v>16</v>
      </c>
      <c r="E25" s="101">
        <v>0.21041666666666667</v>
      </c>
      <c r="F25" s="64" t="str">
        <f>VLOOKUP(G25,'Vehicle List'!A:C,3,0)</f>
        <v>Green Planet</v>
      </c>
      <c r="G25" s="29" t="s">
        <v>73</v>
      </c>
      <c r="H25" s="29" t="s">
        <v>128</v>
      </c>
      <c r="I25" s="29" t="s">
        <v>1218</v>
      </c>
      <c r="J25" s="64" t="str">
        <f>VLOOKUP(G25,'Vehicle List'!A:D,4,0)</f>
        <v>Kochi</v>
      </c>
      <c r="K25" s="64" t="s">
        <v>29</v>
      </c>
      <c r="L25" s="64" t="s">
        <v>19</v>
      </c>
      <c r="M25" s="64" t="s">
        <v>19</v>
      </c>
      <c r="N25" s="101">
        <v>0.21041666666666667</v>
      </c>
      <c r="O25" s="29" t="s">
        <v>1208</v>
      </c>
      <c r="P25" s="29" t="s">
        <v>30</v>
      </c>
    </row>
    <row r="26" spans="1:16">
      <c r="A26" s="29">
        <f t="shared" si="0"/>
        <v>25</v>
      </c>
      <c r="B26" s="75">
        <v>46083</v>
      </c>
      <c r="C26" s="63" t="s">
        <v>85</v>
      </c>
      <c r="D26" s="63" t="s">
        <v>28</v>
      </c>
      <c r="E26" s="101">
        <v>0.28611111111111109</v>
      </c>
      <c r="F26" s="64" t="str">
        <f>VLOOKUP(G26,'Vehicle List'!A:C,3,0)</f>
        <v>Expo Trans India Limited</v>
      </c>
      <c r="G26" s="29" t="s">
        <v>40</v>
      </c>
      <c r="H26" s="29" t="s">
        <v>1229</v>
      </c>
      <c r="I26" s="29" t="s">
        <v>1230</v>
      </c>
      <c r="J26" s="64" t="str">
        <f>VLOOKUP(G26,'Vehicle List'!A:D,4,0)</f>
        <v>Chittoor</v>
      </c>
      <c r="K26" s="64" t="s">
        <v>29</v>
      </c>
      <c r="L26" s="64" t="s">
        <v>19</v>
      </c>
      <c r="M26" s="64" t="s">
        <v>19</v>
      </c>
      <c r="N26" s="101">
        <v>0.28611111111111109</v>
      </c>
      <c r="O26" s="29" t="s">
        <v>1225</v>
      </c>
      <c r="P26" s="29" t="s">
        <v>30</v>
      </c>
    </row>
    <row r="27" spans="1:16">
      <c r="A27" s="29">
        <f t="shared" si="0"/>
        <v>26</v>
      </c>
      <c r="B27" s="75">
        <v>46083</v>
      </c>
      <c r="C27" s="63" t="s">
        <v>85</v>
      </c>
      <c r="D27" s="63" t="s">
        <v>28</v>
      </c>
      <c r="E27" s="101">
        <v>0.28749999999999998</v>
      </c>
      <c r="F27" s="64" t="str">
        <f>VLOOKUP(G27,'Vehicle List'!A:C,3,0)</f>
        <v>Kongunadu Roadlines</v>
      </c>
      <c r="G27" s="29" t="s">
        <v>31</v>
      </c>
      <c r="H27" s="29" t="s">
        <v>1217</v>
      </c>
      <c r="I27" s="29" t="s">
        <v>1216</v>
      </c>
      <c r="J27" s="64" t="str">
        <f>VLOOKUP(G27,'Vehicle List'!A:D,4,0)</f>
        <v>Kochi</v>
      </c>
      <c r="K27" s="64" t="s">
        <v>29</v>
      </c>
      <c r="L27" s="64" t="s">
        <v>19</v>
      </c>
      <c r="M27" s="64" t="s">
        <v>19</v>
      </c>
      <c r="N27" s="101">
        <v>0.28749999999999998</v>
      </c>
      <c r="O27" s="29" t="s">
        <v>1226</v>
      </c>
      <c r="P27" s="29" t="s">
        <v>21</v>
      </c>
    </row>
    <row r="28" spans="1:16">
      <c r="A28" s="29">
        <f t="shared" si="0"/>
        <v>27</v>
      </c>
      <c r="B28" s="75">
        <v>46083</v>
      </c>
      <c r="C28" s="63" t="s">
        <v>85</v>
      </c>
      <c r="D28" s="63" t="s">
        <v>28</v>
      </c>
      <c r="E28" s="101">
        <v>0.2902777777777778</v>
      </c>
      <c r="F28" s="64" t="str">
        <f>VLOOKUP(G28,'Vehicle List'!A:C,3,0)</f>
        <v>Expo Trans India Limited</v>
      </c>
      <c r="G28" s="29" t="s">
        <v>287</v>
      </c>
      <c r="H28" s="29" t="s">
        <v>1235</v>
      </c>
      <c r="I28" s="29" t="s">
        <v>1188</v>
      </c>
      <c r="J28" s="64" t="str">
        <f>VLOOKUP(G28,'Vehicle List'!A:D,4,0)</f>
        <v>Kolar</v>
      </c>
      <c r="K28" s="64" t="s">
        <v>24</v>
      </c>
      <c r="L28" s="64" t="s">
        <v>19</v>
      </c>
      <c r="M28" s="64" t="s">
        <v>20</v>
      </c>
      <c r="N28" s="101">
        <v>0.39097222222222222</v>
      </c>
      <c r="O28" s="29" t="s">
        <v>1228</v>
      </c>
      <c r="P28" s="29" t="s">
        <v>21</v>
      </c>
    </row>
    <row r="29" spans="1:16">
      <c r="A29" s="29">
        <f t="shared" si="0"/>
        <v>28</v>
      </c>
      <c r="B29" s="75">
        <v>46083</v>
      </c>
      <c r="C29" s="63" t="s">
        <v>85</v>
      </c>
      <c r="D29" s="63" t="s">
        <v>28</v>
      </c>
      <c r="E29" s="101">
        <v>0.40277777777777779</v>
      </c>
      <c r="F29" s="64" t="str">
        <f>VLOOKUP(G29,'Vehicle List'!A:C,3,0)</f>
        <v>Rahul Roadlines</v>
      </c>
      <c r="G29" s="29" t="s">
        <v>106</v>
      </c>
      <c r="H29" s="29" t="s">
        <v>1231</v>
      </c>
      <c r="I29" s="29" t="s">
        <v>1232</v>
      </c>
      <c r="J29" s="64" t="str">
        <f>VLOOKUP(G29,'Vehicle List'!A:D,4,0)</f>
        <v>BJJ</v>
      </c>
      <c r="K29" s="64" t="s">
        <v>29</v>
      </c>
      <c r="L29" s="64" t="s">
        <v>19</v>
      </c>
      <c r="M29" s="64" t="s">
        <v>19</v>
      </c>
      <c r="N29" s="101">
        <v>0.40277777777777779</v>
      </c>
      <c r="O29" s="29" t="s">
        <v>1225</v>
      </c>
      <c r="P29" s="29" t="s">
        <v>30</v>
      </c>
    </row>
    <row r="30" spans="1:16">
      <c r="A30" s="29">
        <f t="shared" si="0"/>
        <v>29</v>
      </c>
      <c r="B30" s="75">
        <v>46083</v>
      </c>
      <c r="C30" s="63" t="s">
        <v>85</v>
      </c>
      <c r="D30" s="63" t="s">
        <v>28</v>
      </c>
      <c r="E30" s="101">
        <v>0.44166666666666665</v>
      </c>
      <c r="F30" s="64" t="str">
        <f>VLOOKUP(G30,'Vehicle List'!A:C,3,0)</f>
        <v>Rahul Roadlines</v>
      </c>
      <c r="G30" s="29" t="s">
        <v>62</v>
      </c>
      <c r="H30" s="29" t="s">
        <v>1236</v>
      </c>
      <c r="I30" s="29" t="s">
        <v>1108</v>
      </c>
      <c r="J30" s="64" t="str">
        <f>VLOOKUP(G30,'Vehicle List'!A:D,4,0)</f>
        <v>BJJ</v>
      </c>
      <c r="K30" s="64" t="s">
        <v>24</v>
      </c>
      <c r="L30" s="64" t="s">
        <v>19</v>
      </c>
      <c r="M30" s="64" t="s">
        <v>20</v>
      </c>
      <c r="N30" s="101">
        <v>0.48472222222222222</v>
      </c>
      <c r="O30" s="29" t="s">
        <v>1078</v>
      </c>
      <c r="P30" s="29" t="s">
        <v>21</v>
      </c>
    </row>
    <row r="31" spans="1:16">
      <c r="A31" s="29">
        <f t="shared" si="0"/>
        <v>30</v>
      </c>
      <c r="B31" s="75">
        <v>46083</v>
      </c>
      <c r="C31" s="63" t="s">
        <v>85</v>
      </c>
      <c r="D31" s="63" t="s">
        <v>28</v>
      </c>
      <c r="E31" s="101">
        <v>0.47499999999999998</v>
      </c>
      <c r="F31" s="64" t="str">
        <f>VLOOKUP(G31,'Vehicle List'!A:C,3,0)</f>
        <v>Sritransways Logistics</v>
      </c>
      <c r="G31" s="29" t="s">
        <v>469</v>
      </c>
      <c r="H31" s="29" t="s">
        <v>1237</v>
      </c>
      <c r="I31" s="29" t="s">
        <v>1238</v>
      </c>
      <c r="J31" s="64" t="str">
        <f>VLOOKUP(G31,'Vehicle List'!A:D,4,0)</f>
        <v>AKT</v>
      </c>
      <c r="K31" s="64" t="s">
        <v>26</v>
      </c>
      <c r="L31" s="64" t="s">
        <v>19</v>
      </c>
      <c r="M31" s="64" t="s">
        <v>20</v>
      </c>
      <c r="N31" s="101">
        <v>0.49444444444444446</v>
      </c>
      <c r="O31" s="29" t="s">
        <v>1227</v>
      </c>
      <c r="P31" s="29" t="s">
        <v>21</v>
      </c>
    </row>
    <row r="32" spans="1:16">
      <c r="A32" s="29">
        <f t="shared" si="0"/>
        <v>31</v>
      </c>
      <c r="B32" s="75">
        <v>46083</v>
      </c>
      <c r="C32" s="63" t="s">
        <v>85</v>
      </c>
      <c r="D32" s="63" t="s">
        <v>28</v>
      </c>
      <c r="E32" s="101">
        <v>0.52430555555555558</v>
      </c>
      <c r="F32" s="64" t="str">
        <f>VLOOKUP(G32,'Vehicle List'!A:C,3,0)</f>
        <v>Rahul Roadlines</v>
      </c>
      <c r="G32" s="29" t="s">
        <v>609</v>
      </c>
      <c r="H32" s="29" t="s">
        <v>1233</v>
      </c>
      <c r="I32" s="29" t="s">
        <v>1234</v>
      </c>
      <c r="J32" s="64" t="str">
        <f>VLOOKUP(G32,'Vehicle List'!A:D,4,0)</f>
        <v>Kochi</v>
      </c>
      <c r="K32" s="64" t="s">
        <v>29</v>
      </c>
      <c r="L32" s="64" t="s">
        <v>19</v>
      </c>
      <c r="M32" s="64" t="s">
        <v>19</v>
      </c>
      <c r="N32" s="101">
        <v>0.52430555555555558</v>
      </c>
      <c r="O32" s="29" t="s">
        <v>1224</v>
      </c>
      <c r="P32" s="29" t="s">
        <v>30</v>
      </c>
    </row>
    <row r="33" spans="1:16">
      <c r="A33" s="29">
        <f t="shared" si="0"/>
        <v>32</v>
      </c>
      <c r="B33" s="75">
        <v>46083</v>
      </c>
      <c r="C33" s="63" t="s">
        <v>27</v>
      </c>
      <c r="D33" s="63" t="s">
        <v>39</v>
      </c>
      <c r="E33" s="101">
        <v>0.57777777777777772</v>
      </c>
      <c r="F33" s="64" t="str">
        <f>VLOOKUP(G33,'Vehicle List'!A:C,3,0)</f>
        <v>Rahul Roadlines</v>
      </c>
      <c r="G33" s="29" t="s">
        <v>608</v>
      </c>
      <c r="H33" s="29" t="s">
        <v>1043</v>
      </c>
      <c r="I33" s="29" t="s">
        <v>1044</v>
      </c>
      <c r="J33" s="64" t="str">
        <f>VLOOKUP(G33,'Vehicle List'!A:D,4,0)</f>
        <v>Ennore</v>
      </c>
      <c r="K33" s="64" t="s">
        <v>29</v>
      </c>
      <c r="L33" s="64" t="s">
        <v>19</v>
      </c>
      <c r="M33" s="64" t="s">
        <v>19</v>
      </c>
      <c r="N33" s="101">
        <v>0.57777777777777772</v>
      </c>
      <c r="O33" s="29" t="s">
        <v>1245</v>
      </c>
      <c r="P33" s="29" t="s">
        <v>30</v>
      </c>
    </row>
    <row r="34" spans="1:16">
      <c r="A34" s="29">
        <f t="shared" si="0"/>
        <v>33</v>
      </c>
      <c r="B34" s="75">
        <v>46083</v>
      </c>
      <c r="C34" s="63" t="s">
        <v>27</v>
      </c>
      <c r="D34" s="63" t="s">
        <v>39</v>
      </c>
      <c r="E34" s="101">
        <v>0.60069444444444442</v>
      </c>
      <c r="F34" s="64" t="str">
        <f>VLOOKUP(G34,'Vehicle List'!A:C,3,0)</f>
        <v>Kongunadu Roadlines</v>
      </c>
      <c r="G34" s="29" t="s">
        <v>99</v>
      </c>
      <c r="H34" s="29" t="s">
        <v>1200</v>
      </c>
      <c r="I34" s="29" t="s">
        <v>1250</v>
      </c>
      <c r="J34" s="64" t="str">
        <f>VLOOKUP(G34,'Vehicle List'!A:D,4,0)</f>
        <v>Ennore</v>
      </c>
      <c r="K34" s="64" t="s">
        <v>29</v>
      </c>
      <c r="L34" s="64" t="s">
        <v>19</v>
      </c>
      <c r="M34" s="64" t="s">
        <v>19</v>
      </c>
      <c r="N34" s="101">
        <v>0.60069444444444442</v>
      </c>
      <c r="O34" s="29" t="s">
        <v>1246</v>
      </c>
      <c r="P34" s="29" t="s">
        <v>30</v>
      </c>
    </row>
    <row r="35" spans="1:16">
      <c r="A35" s="29">
        <f t="shared" si="0"/>
        <v>34</v>
      </c>
      <c r="B35" s="75">
        <v>46083</v>
      </c>
      <c r="C35" s="63" t="s">
        <v>27</v>
      </c>
      <c r="D35" s="63" t="s">
        <v>39</v>
      </c>
      <c r="E35" s="101">
        <v>0.60277777777777775</v>
      </c>
      <c r="F35" s="64" t="str">
        <f>VLOOKUP(G35,'Vehicle List'!A:C,3,0)</f>
        <v>Kongunadu Roadlines</v>
      </c>
      <c r="G35" s="29" t="s">
        <v>624</v>
      </c>
      <c r="H35" s="29" t="s">
        <v>1252</v>
      </c>
      <c r="I35" s="29" t="s">
        <v>1251</v>
      </c>
      <c r="J35" s="64" t="str">
        <f>VLOOKUP(G35,'Vehicle List'!A:D,4,0)</f>
        <v>Dahej</v>
      </c>
      <c r="K35" s="64" t="s">
        <v>29</v>
      </c>
      <c r="L35" s="64" t="s">
        <v>19</v>
      </c>
      <c r="M35" s="64" t="s">
        <v>19</v>
      </c>
      <c r="N35" s="101">
        <v>0.60277777777777775</v>
      </c>
      <c r="O35" s="29" t="s">
        <v>1247</v>
      </c>
      <c r="P35" s="29" t="s">
        <v>21</v>
      </c>
    </row>
    <row r="36" spans="1:16">
      <c r="A36" s="29">
        <f t="shared" si="0"/>
        <v>35</v>
      </c>
      <c r="B36" s="75">
        <v>46083</v>
      </c>
      <c r="C36" s="63" t="s">
        <v>27</v>
      </c>
      <c r="D36" s="63" t="s">
        <v>39</v>
      </c>
      <c r="E36" s="101">
        <v>0.61041666666666672</v>
      </c>
      <c r="F36" s="64" t="str">
        <f>VLOOKUP(G36,'Vehicle List'!A:C,3,0)</f>
        <v>Kongunadu Roadlines</v>
      </c>
      <c r="G36" s="29" t="s">
        <v>31</v>
      </c>
      <c r="H36" s="29" t="s">
        <v>1241</v>
      </c>
      <c r="I36" s="29" t="s">
        <v>1216</v>
      </c>
      <c r="J36" s="64" t="str">
        <f>VLOOKUP(G36,'Vehicle List'!A:D,4,0)</f>
        <v>Kochi</v>
      </c>
      <c r="K36" s="64" t="s">
        <v>1174</v>
      </c>
      <c r="L36" s="64" t="s">
        <v>19</v>
      </c>
      <c r="M36" s="64" t="s">
        <v>20</v>
      </c>
      <c r="N36" s="101">
        <v>0.64722222222222225</v>
      </c>
      <c r="O36" s="29" t="s">
        <v>1244</v>
      </c>
      <c r="P36" s="29" t="s">
        <v>21</v>
      </c>
    </row>
    <row r="37" spans="1:16">
      <c r="A37" s="29">
        <f t="shared" si="0"/>
        <v>36</v>
      </c>
      <c r="B37" s="75">
        <v>46083</v>
      </c>
      <c r="C37" s="63" t="s">
        <v>27</v>
      </c>
      <c r="D37" s="63" t="s">
        <v>39</v>
      </c>
      <c r="E37" s="101">
        <v>0.62986111111111109</v>
      </c>
      <c r="F37" s="64" t="str">
        <f>VLOOKUP(G37,'Vehicle List'!A:C,3,0)</f>
        <v>Kongunadu Roadlines</v>
      </c>
      <c r="G37" s="29" t="s">
        <v>588</v>
      </c>
      <c r="H37" s="29" t="s">
        <v>1254</v>
      </c>
      <c r="I37" s="29" t="s">
        <v>1253</v>
      </c>
      <c r="J37" s="64" t="str">
        <f>VLOOKUP(G37,'Vehicle List'!A:D,4,0)</f>
        <v>Ennore</v>
      </c>
      <c r="K37" s="64" t="s">
        <v>29</v>
      </c>
      <c r="L37" s="64" t="s">
        <v>19</v>
      </c>
      <c r="M37" s="64" t="s">
        <v>19</v>
      </c>
      <c r="N37" s="101">
        <v>0.62986111111111109</v>
      </c>
      <c r="O37" s="29" t="s">
        <v>1248</v>
      </c>
      <c r="P37" s="29" t="s">
        <v>21</v>
      </c>
    </row>
    <row r="38" spans="1:16">
      <c r="A38" s="29">
        <f t="shared" si="0"/>
        <v>37</v>
      </c>
      <c r="B38" s="75">
        <v>46083</v>
      </c>
      <c r="C38" s="63" t="s">
        <v>27</v>
      </c>
      <c r="D38" s="63" t="s">
        <v>39</v>
      </c>
      <c r="E38" s="101">
        <v>0.6333333333333333</v>
      </c>
      <c r="F38" s="64" t="str">
        <f>VLOOKUP(G38,'Vehicle List'!A:C,3,0)</f>
        <v>Expo Trans India Limited</v>
      </c>
      <c r="G38" s="29" t="s">
        <v>40</v>
      </c>
      <c r="H38" s="29" t="s">
        <v>1229</v>
      </c>
      <c r="I38" s="29" t="s">
        <v>1230</v>
      </c>
      <c r="J38" s="64" t="str">
        <f>VLOOKUP(G38,'Vehicle List'!A:D,4,0)</f>
        <v>Chittoor</v>
      </c>
      <c r="K38" s="64" t="s">
        <v>29</v>
      </c>
      <c r="L38" s="64" t="s">
        <v>19</v>
      </c>
      <c r="M38" s="64" t="s">
        <v>19</v>
      </c>
      <c r="N38" s="101">
        <v>0.6333333333333333</v>
      </c>
      <c r="O38" s="29" t="s">
        <v>1225</v>
      </c>
      <c r="P38" s="29" t="s">
        <v>30</v>
      </c>
    </row>
    <row r="39" spans="1:16">
      <c r="A39" s="29">
        <f t="shared" si="0"/>
        <v>38</v>
      </c>
      <c r="B39" s="75">
        <v>46083</v>
      </c>
      <c r="C39" s="63" t="s">
        <v>27</v>
      </c>
      <c r="D39" s="63" t="s">
        <v>39</v>
      </c>
      <c r="E39" s="101">
        <v>0.65555555555555556</v>
      </c>
      <c r="F39" s="64" t="str">
        <f>VLOOKUP(G39,'Vehicle List'!A:C,3,0)</f>
        <v>Expo Trans India Limited</v>
      </c>
      <c r="G39" s="29" t="s">
        <v>40</v>
      </c>
      <c r="H39" s="29" t="s">
        <v>1229</v>
      </c>
      <c r="I39" s="29" t="s">
        <v>1255</v>
      </c>
      <c r="J39" s="64" t="str">
        <f>VLOOKUP(G39,'Vehicle List'!A:D,4,0)</f>
        <v>Chittoor</v>
      </c>
      <c r="K39" s="64" t="s">
        <v>29</v>
      </c>
      <c r="L39" s="64" t="s">
        <v>19</v>
      </c>
      <c r="M39" s="64" t="s">
        <v>19</v>
      </c>
      <c r="N39" s="101">
        <v>0.65555555555555556</v>
      </c>
      <c r="O39" s="29" t="s">
        <v>1224</v>
      </c>
      <c r="P39" s="29" t="s">
        <v>30</v>
      </c>
    </row>
    <row r="40" spans="1:16">
      <c r="A40" s="29">
        <f t="shared" si="0"/>
        <v>39</v>
      </c>
      <c r="B40" s="75">
        <v>46083</v>
      </c>
      <c r="C40" s="63" t="s">
        <v>27</v>
      </c>
      <c r="D40" s="63" t="s">
        <v>39</v>
      </c>
      <c r="E40" s="101">
        <v>0.66874999999999996</v>
      </c>
      <c r="F40" s="64" t="str">
        <f>VLOOKUP(G40,'Vehicle List'!A:C,3,0)</f>
        <v>Kongunadu Roadlines</v>
      </c>
      <c r="G40" s="29" t="s">
        <v>591</v>
      </c>
      <c r="H40" s="29" t="s">
        <v>1242</v>
      </c>
      <c r="I40" s="29" t="s">
        <v>1243</v>
      </c>
      <c r="J40" s="64" t="str">
        <f>VLOOKUP(G40,'Vehicle List'!A:D,4,0)</f>
        <v>Kochi</v>
      </c>
      <c r="K40" s="64" t="s">
        <v>18</v>
      </c>
      <c r="L40" s="64" t="s">
        <v>19</v>
      </c>
      <c r="M40" s="64" t="s">
        <v>20</v>
      </c>
      <c r="N40" s="101">
        <v>0.6875</v>
      </c>
      <c r="O40" s="29" t="s">
        <v>1244</v>
      </c>
      <c r="P40" s="29" t="s">
        <v>21</v>
      </c>
    </row>
    <row r="41" spans="1:16">
      <c r="A41" s="29">
        <f t="shared" si="0"/>
        <v>40</v>
      </c>
      <c r="B41" s="75">
        <v>46083</v>
      </c>
      <c r="C41" s="63" t="s">
        <v>27</v>
      </c>
      <c r="D41" s="63" t="s">
        <v>39</v>
      </c>
      <c r="E41" s="101">
        <v>0.68819444444444444</v>
      </c>
      <c r="F41" s="64" t="str">
        <f>VLOOKUP(G41,'Vehicle List'!A:C,3,0)</f>
        <v>Velan Gogreen Logistics Pvt Ltd</v>
      </c>
      <c r="G41" s="29" t="s">
        <v>34</v>
      </c>
      <c r="H41" s="29" t="s">
        <v>1257</v>
      </c>
      <c r="I41" s="29" t="s">
        <v>1256</v>
      </c>
      <c r="J41" s="64" t="str">
        <f>VLOOKUP(G41,'Vehicle List'!A:D,4,0)</f>
        <v>KNCP</v>
      </c>
      <c r="K41" s="64" t="s">
        <v>29</v>
      </c>
      <c r="L41" s="64" t="s">
        <v>19</v>
      </c>
      <c r="M41" s="64" t="s">
        <v>19</v>
      </c>
      <c r="N41" s="101">
        <v>0.68819444444444444</v>
      </c>
      <c r="O41" s="67" t="s">
        <v>1356</v>
      </c>
      <c r="P41" s="29" t="s">
        <v>30</v>
      </c>
    </row>
    <row r="42" spans="1:16">
      <c r="A42" s="29">
        <f t="shared" si="0"/>
        <v>41</v>
      </c>
      <c r="B42" s="75">
        <v>46083</v>
      </c>
      <c r="C42" s="63" t="s">
        <v>27</v>
      </c>
      <c r="D42" s="63" t="s">
        <v>39</v>
      </c>
      <c r="E42" s="101">
        <v>0.75624999999999998</v>
      </c>
      <c r="F42" s="64" t="str">
        <f>VLOOKUP(G42,'Vehicle List'!A:C,3,0)</f>
        <v>Anmol Transport</v>
      </c>
      <c r="G42" s="29" t="s">
        <v>563</v>
      </c>
      <c r="H42" s="29" t="s">
        <v>1259</v>
      </c>
      <c r="I42" s="29" t="s">
        <v>1258</v>
      </c>
      <c r="J42" s="64" t="str">
        <f>VLOOKUP(G42,'Vehicle List'!A:D,4,0)</f>
        <v>Jalandhar</v>
      </c>
      <c r="K42" s="64" t="s">
        <v>29</v>
      </c>
      <c r="L42" s="64" t="s">
        <v>19</v>
      </c>
      <c r="M42" s="64" t="s">
        <v>19</v>
      </c>
      <c r="N42" s="101">
        <v>0.75624999999999998</v>
      </c>
      <c r="O42" s="29" t="s">
        <v>1261</v>
      </c>
      <c r="P42" s="29" t="s">
        <v>30</v>
      </c>
    </row>
    <row r="43" spans="1:16">
      <c r="A43" s="29">
        <f t="shared" si="0"/>
        <v>42</v>
      </c>
      <c r="B43" s="75">
        <v>46083</v>
      </c>
      <c r="C43" s="63" t="s">
        <v>27</v>
      </c>
      <c r="D43" s="63" t="s">
        <v>39</v>
      </c>
      <c r="E43" s="101">
        <v>0.89513888888888893</v>
      </c>
      <c r="F43" s="64" t="str">
        <f>VLOOKUP(G43,'Vehicle List'!A:C,3,0)</f>
        <v>Kongunadu Roadlines</v>
      </c>
      <c r="G43" s="29" t="s">
        <v>606</v>
      </c>
      <c r="H43" s="29" t="s">
        <v>1263</v>
      </c>
      <c r="I43" s="29" t="s">
        <v>1262</v>
      </c>
      <c r="J43" s="64" t="str">
        <f>VLOOKUP(G43,'Vehicle List'!A:D,4,0)</f>
        <v>Ennore</v>
      </c>
      <c r="K43" s="64" t="s">
        <v>29</v>
      </c>
      <c r="L43" s="64" t="s">
        <v>19</v>
      </c>
      <c r="M43" s="64" t="s">
        <v>19</v>
      </c>
      <c r="N43" s="101">
        <v>0.89513888888888893</v>
      </c>
      <c r="O43" s="29" t="s">
        <v>1260</v>
      </c>
      <c r="P43" s="29" t="s">
        <v>21</v>
      </c>
    </row>
    <row r="44" spans="1:16">
      <c r="A44" s="29">
        <f t="shared" si="0"/>
        <v>43</v>
      </c>
      <c r="B44" s="75">
        <v>46083</v>
      </c>
      <c r="C44" s="63" t="s">
        <v>27</v>
      </c>
      <c r="D44" s="63" t="s">
        <v>39</v>
      </c>
      <c r="E44" s="101">
        <v>0.90138888888888891</v>
      </c>
      <c r="F44" s="64" t="str">
        <f>VLOOKUP(G44,'Vehicle List'!A:C,3,0)</f>
        <v>Kongunadu Roadlines</v>
      </c>
      <c r="G44" s="29" t="s">
        <v>623</v>
      </c>
      <c r="H44" s="29" t="s">
        <v>1267</v>
      </c>
      <c r="I44" s="29" t="s">
        <v>1266</v>
      </c>
      <c r="J44" s="64" t="str">
        <f>VLOOKUP(G44,'Vehicle List'!A:D,4,0)</f>
        <v>Dahej</v>
      </c>
      <c r="K44" s="64" t="s">
        <v>26</v>
      </c>
      <c r="L44" s="64" t="s">
        <v>19</v>
      </c>
      <c r="M44" s="64" t="s">
        <v>20</v>
      </c>
      <c r="N44" s="101">
        <v>0.94444444444444442</v>
      </c>
      <c r="O44" s="29" t="s">
        <v>1124</v>
      </c>
      <c r="P44" s="29" t="s">
        <v>21</v>
      </c>
    </row>
    <row r="45" spans="1:16">
      <c r="A45" s="29">
        <f t="shared" si="0"/>
        <v>44</v>
      </c>
      <c r="B45" s="75">
        <v>46083</v>
      </c>
      <c r="C45" s="63" t="s">
        <v>1268</v>
      </c>
      <c r="D45" s="63" t="s">
        <v>16</v>
      </c>
      <c r="E45" s="101">
        <v>0.9291666666666667</v>
      </c>
      <c r="F45" s="64" t="str">
        <f>VLOOKUP(G45,'Vehicle List'!A:C,3,0)</f>
        <v>Kongunadu Roadlines</v>
      </c>
      <c r="G45" s="29" t="s">
        <v>435</v>
      </c>
      <c r="H45" s="29" t="s">
        <v>1269</v>
      </c>
      <c r="I45" s="29" t="s">
        <v>1270</v>
      </c>
      <c r="J45" s="64" t="str">
        <f>VLOOKUP(G45,'Vehicle List'!A:D,4,0)</f>
        <v>Vellore</v>
      </c>
      <c r="K45" s="64" t="s">
        <v>29</v>
      </c>
      <c r="L45" s="64" t="s">
        <v>19</v>
      </c>
      <c r="M45" s="64" t="s">
        <v>19</v>
      </c>
      <c r="N45" s="101">
        <v>0.9291666666666667</v>
      </c>
      <c r="O45" s="29" t="s">
        <v>1271</v>
      </c>
      <c r="P45" s="29" t="s">
        <v>21</v>
      </c>
    </row>
    <row r="46" spans="1:16">
      <c r="A46" s="29">
        <f t="shared" si="0"/>
        <v>45</v>
      </c>
      <c r="B46" s="75">
        <v>46083</v>
      </c>
      <c r="C46" s="63" t="s">
        <v>1268</v>
      </c>
      <c r="D46" s="63" t="s">
        <v>16</v>
      </c>
      <c r="E46" s="101">
        <v>0.93611111111111112</v>
      </c>
      <c r="F46" s="64" t="str">
        <f>VLOOKUP(G46,'Vehicle List'!A:C,3,0)</f>
        <v>Kongunadu Roadlines</v>
      </c>
      <c r="G46" s="29" t="s">
        <v>301</v>
      </c>
      <c r="H46" s="29" t="s">
        <v>1272</v>
      </c>
      <c r="I46" s="29" t="s">
        <v>1273</v>
      </c>
      <c r="J46" s="64" t="str">
        <f>VLOOKUP(G46,'Vehicle List'!A:D,4,0)</f>
        <v>AKT</v>
      </c>
      <c r="K46" s="64" t="s">
        <v>26</v>
      </c>
      <c r="L46" s="64" t="s">
        <v>19</v>
      </c>
      <c r="M46" s="64" t="s">
        <v>20</v>
      </c>
      <c r="N46" s="101">
        <v>0.99791666666666667</v>
      </c>
      <c r="O46" s="29" t="s">
        <v>1227</v>
      </c>
      <c r="P46" s="29" t="s">
        <v>21</v>
      </c>
    </row>
    <row r="47" spans="1:16">
      <c r="A47" s="29">
        <f t="shared" si="0"/>
        <v>46</v>
      </c>
      <c r="B47" s="75">
        <v>46083</v>
      </c>
      <c r="C47" s="63" t="s">
        <v>1268</v>
      </c>
      <c r="D47" s="63" t="s">
        <v>16</v>
      </c>
      <c r="E47" s="101">
        <v>0.95208333333333328</v>
      </c>
      <c r="F47" s="64" t="str">
        <f>VLOOKUP(G47,'Vehicle List'!A:C,3,0)</f>
        <v>Kongunadu Roadlines</v>
      </c>
      <c r="G47" s="29" t="s">
        <v>443</v>
      </c>
      <c r="H47" s="29" t="s">
        <v>1274</v>
      </c>
      <c r="I47" s="29" t="s">
        <v>1275</v>
      </c>
      <c r="J47" s="64" t="str">
        <f>VLOOKUP(G47,'Vehicle List'!A:D,4,0)</f>
        <v>AKT</v>
      </c>
      <c r="K47" s="64" t="s">
        <v>26</v>
      </c>
      <c r="L47" s="64" t="s">
        <v>19</v>
      </c>
      <c r="M47" s="64" t="s">
        <v>20</v>
      </c>
      <c r="N47" s="101">
        <v>8.3333333333333332E-3</v>
      </c>
      <c r="O47" s="29" t="s">
        <v>1227</v>
      </c>
      <c r="P47" s="29" t="s">
        <v>21</v>
      </c>
    </row>
    <row r="48" spans="1:16">
      <c r="A48" s="29">
        <f t="shared" si="0"/>
        <v>47</v>
      </c>
      <c r="B48" s="75">
        <v>46084</v>
      </c>
      <c r="C48" s="63" t="s">
        <v>1268</v>
      </c>
      <c r="D48" s="63" t="s">
        <v>16</v>
      </c>
      <c r="E48" s="101">
        <v>1.3194444444444444E-2</v>
      </c>
      <c r="F48" s="64" t="str">
        <f>VLOOKUP(G48,'Vehicle List'!A:C,3,0)</f>
        <v>Oraya Gas India Pvt.Ltd.</v>
      </c>
      <c r="G48" s="29" t="s">
        <v>45</v>
      </c>
      <c r="H48" s="29" t="s">
        <v>1276</v>
      </c>
      <c r="I48" s="29" t="s">
        <v>1277</v>
      </c>
      <c r="J48" s="64" t="str">
        <f>VLOOKUP(G48,'Vehicle List'!A:D,4,0)</f>
        <v>Kochi</v>
      </c>
      <c r="K48" s="64" t="s">
        <v>26</v>
      </c>
      <c r="L48" s="64" t="s">
        <v>19</v>
      </c>
      <c r="M48" s="64" t="s">
        <v>20</v>
      </c>
      <c r="N48" s="101">
        <v>0.10347222222222222</v>
      </c>
      <c r="O48" s="29" t="s">
        <v>1244</v>
      </c>
      <c r="P48" s="29" t="s">
        <v>21</v>
      </c>
    </row>
    <row r="49" spans="1:16">
      <c r="A49" s="29">
        <f t="shared" si="0"/>
        <v>48</v>
      </c>
      <c r="B49" s="75">
        <v>46084</v>
      </c>
      <c r="C49" s="63" t="s">
        <v>1268</v>
      </c>
      <c r="D49" s="63" t="s">
        <v>16</v>
      </c>
      <c r="E49" s="101">
        <v>9.8611111111111108E-2</v>
      </c>
      <c r="F49" s="64" t="str">
        <f>VLOOKUP(G49,'Vehicle List'!A:C,3,0)</f>
        <v>Kongunadu Roadlines</v>
      </c>
      <c r="G49" s="29" t="s">
        <v>99</v>
      </c>
      <c r="H49" s="29" t="s">
        <v>1200</v>
      </c>
      <c r="I49" s="29" t="s">
        <v>1199</v>
      </c>
      <c r="J49" s="64" t="s">
        <v>587</v>
      </c>
      <c r="K49" s="64" t="s">
        <v>29</v>
      </c>
      <c r="L49" s="64" t="s">
        <v>19</v>
      </c>
      <c r="M49" s="64" t="s">
        <v>19</v>
      </c>
      <c r="N49" s="101">
        <v>9.8611111111111108E-2</v>
      </c>
      <c r="O49" s="29" t="s">
        <v>1278</v>
      </c>
      <c r="P49" s="29" t="s">
        <v>30</v>
      </c>
    </row>
    <row r="50" spans="1:16">
      <c r="A50" s="29">
        <f t="shared" si="0"/>
        <v>49</v>
      </c>
      <c r="B50" s="75">
        <v>46084</v>
      </c>
      <c r="C50" s="63" t="s">
        <v>1268</v>
      </c>
      <c r="D50" s="63" t="s">
        <v>16</v>
      </c>
      <c r="E50" s="101">
        <v>0.11736111111111111</v>
      </c>
      <c r="F50" s="64" t="str">
        <f>VLOOKUP(G50,'Vehicle List'!A:C,3,0)</f>
        <v>Kongunadu Roadlines</v>
      </c>
      <c r="G50" s="29" t="s">
        <v>591</v>
      </c>
      <c r="H50" s="29" t="s">
        <v>1242</v>
      </c>
      <c r="I50" s="29" t="s">
        <v>1243</v>
      </c>
      <c r="J50" s="64" t="str">
        <f>VLOOKUP(G50,'Vehicle List'!A:D,4,0)</f>
        <v>Kochi</v>
      </c>
      <c r="K50" s="64" t="s">
        <v>29</v>
      </c>
      <c r="L50" s="64" t="s">
        <v>19</v>
      </c>
      <c r="M50" s="64" t="s">
        <v>19</v>
      </c>
      <c r="N50" s="101">
        <v>0.11736111111111111</v>
      </c>
      <c r="O50" s="29" t="s">
        <v>1207</v>
      </c>
      <c r="P50" s="29" t="s">
        <v>30</v>
      </c>
    </row>
    <row r="51" spans="1:16">
      <c r="A51" s="29">
        <f t="shared" si="0"/>
        <v>50</v>
      </c>
      <c r="B51" s="75">
        <v>46084</v>
      </c>
      <c r="C51" s="63" t="s">
        <v>1268</v>
      </c>
      <c r="D51" s="63" t="s">
        <v>16</v>
      </c>
      <c r="E51" s="101">
        <v>0.11874999999999999</v>
      </c>
      <c r="F51" s="64" t="str">
        <f>VLOOKUP(G51,'Vehicle List'!A:C,3,0)</f>
        <v>Kongunadu Roadlines</v>
      </c>
      <c r="G51" s="29" t="s">
        <v>622</v>
      </c>
      <c r="H51" s="29" t="s">
        <v>1279</v>
      </c>
      <c r="I51" s="29" t="s">
        <v>1280</v>
      </c>
      <c r="J51" s="64" t="str">
        <f>VLOOKUP(G51,'Vehicle List'!A:D,4,0)</f>
        <v>Hazira</v>
      </c>
      <c r="K51" s="64" t="s">
        <v>1173</v>
      </c>
      <c r="L51" s="64" t="s">
        <v>19</v>
      </c>
      <c r="M51" s="64" t="s">
        <v>20</v>
      </c>
      <c r="N51" s="101">
        <v>0.18541666666666667</v>
      </c>
      <c r="O51" s="29" t="s">
        <v>1124</v>
      </c>
      <c r="P51" s="29" t="s">
        <v>21</v>
      </c>
    </row>
    <row r="52" spans="1:16">
      <c r="A52" s="29">
        <f t="shared" si="0"/>
        <v>51</v>
      </c>
      <c r="B52" s="75">
        <v>46084</v>
      </c>
      <c r="C52" s="63" t="s">
        <v>1268</v>
      </c>
      <c r="D52" s="63" t="s">
        <v>16</v>
      </c>
      <c r="E52" s="101">
        <v>0.125</v>
      </c>
      <c r="F52" s="64" t="str">
        <f>VLOOKUP(G52,'Vehicle List'!A:C,3,0)</f>
        <v>Rahul Roadlines</v>
      </c>
      <c r="G52" s="29" t="s">
        <v>88</v>
      </c>
      <c r="H52" s="29" t="s">
        <v>907</v>
      </c>
      <c r="I52" s="29" t="s">
        <v>908</v>
      </c>
      <c r="J52" s="64" t="str">
        <f>VLOOKUP(G52,'Vehicle List'!A:D,4,0)</f>
        <v>Dahej</v>
      </c>
      <c r="K52" s="64" t="s">
        <v>29</v>
      </c>
      <c r="L52" s="64" t="s">
        <v>19</v>
      </c>
      <c r="M52" s="64" t="s">
        <v>19</v>
      </c>
      <c r="N52" s="101">
        <v>0.125</v>
      </c>
      <c r="O52" s="29" t="s">
        <v>1281</v>
      </c>
      <c r="P52" s="29" t="s">
        <v>30</v>
      </c>
    </row>
    <row r="53" spans="1:16">
      <c r="A53" s="29">
        <f t="shared" si="0"/>
        <v>52</v>
      </c>
      <c r="B53" s="75">
        <v>46084</v>
      </c>
      <c r="C53" s="63" t="s">
        <v>1268</v>
      </c>
      <c r="D53" s="63" t="s">
        <v>16</v>
      </c>
      <c r="E53" s="101">
        <v>0.14027777777777778</v>
      </c>
      <c r="F53" s="64" t="str">
        <f>VLOOKUP(G53,'Vehicle List'!A:C,3,0)</f>
        <v>Kongunadu Roadlines</v>
      </c>
      <c r="G53" s="29" t="s">
        <v>570</v>
      </c>
      <c r="H53" s="29" t="s">
        <v>1282</v>
      </c>
      <c r="I53" s="29" t="s">
        <v>1283</v>
      </c>
      <c r="J53" s="64" t="str">
        <f>VLOOKUP(G53,'Vehicle List'!A:D,4,0)</f>
        <v>AKT</v>
      </c>
      <c r="K53" s="64" t="s">
        <v>26</v>
      </c>
      <c r="L53" s="64" t="s">
        <v>19</v>
      </c>
      <c r="M53" s="64" t="s">
        <v>20</v>
      </c>
      <c r="N53" s="101">
        <v>0.17986111111111111</v>
      </c>
      <c r="O53" s="29" t="s">
        <v>1227</v>
      </c>
      <c r="P53" s="29" t="s">
        <v>21</v>
      </c>
    </row>
    <row r="54" spans="1:16">
      <c r="A54" s="29">
        <f t="shared" si="0"/>
        <v>53</v>
      </c>
      <c r="B54" s="75">
        <v>46084</v>
      </c>
      <c r="C54" s="63" t="s">
        <v>1268</v>
      </c>
      <c r="D54" s="63" t="s">
        <v>16</v>
      </c>
      <c r="E54" s="101">
        <v>0.25277777777777777</v>
      </c>
      <c r="F54" s="64" t="str">
        <f>VLOOKUP(G54,'Vehicle List'!A:C,3,0)</f>
        <v>Expo Trans India Limited</v>
      </c>
      <c r="G54" s="29" t="s">
        <v>40</v>
      </c>
      <c r="H54" s="29" t="s">
        <v>1229</v>
      </c>
      <c r="I54" s="29" t="s">
        <v>1230</v>
      </c>
      <c r="J54" s="64" t="str">
        <f>VLOOKUP(G54,'Vehicle List'!A:D,4,0)</f>
        <v>Chittoor</v>
      </c>
      <c r="K54" s="64" t="s">
        <v>29</v>
      </c>
      <c r="L54" s="64" t="s">
        <v>19</v>
      </c>
      <c r="M54" s="64" t="s">
        <v>19</v>
      </c>
      <c r="N54" s="101">
        <v>0.25277777777777777</v>
      </c>
      <c r="O54" s="29" t="s">
        <v>1284</v>
      </c>
      <c r="P54" s="29" t="s">
        <v>30</v>
      </c>
    </row>
    <row r="55" spans="1:16">
      <c r="A55" s="29">
        <f t="shared" si="0"/>
        <v>54</v>
      </c>
      <c r="B55" s="75">
        <v>46084</v>
      </c>
      <c r="C55" s="63" t="s">
        <v>27</v>
      </c>
      <c r="D55" s="63" t="s">
        <v>28</v>
      </c>
      <c r="E55" s="101">
        <v>0.28194444444444444</v>
      </c>
      <c r="F55" s="64" t="str">
        <f>VLOOKUP(G55,'Vehicle List'!A:C,3,0)</f>
        <v>Kongunadu Roadlines</v>
      </c>
      <c r="G55" s="29" t="s">
        <v>99</v>
      </c>
      <c r="H55" s="29" t="s">
        <v>1200</v>
      </c>
      <c r="I55" s="29" t="s">
        <v>1250</v>
      </c>
      <c r="J55" s="64" t="str">
        <f>VLOOKUP(G55,'Vehicle List'!A:D,4,0)</f>
        <v>Ennore</v>
      </c>
      <c r="K55" s="64" t="s">
        <v>29</v>
      </c>
      <c r="L55" s="64" t="s">
        <v>19</v>
      </c>
      <c r="M55" s="64" t="s">
        <v>19</v>
      </c>
      <c r="N55" s="101">
        <v>0.28194444444444444</v>
      </c>
      <c r="O55" s="29" t="s">
        <v>1278</v>
      </c>
      <c r="P55" s="29" t="s">
        <v>30</v>
      </c>
    </row>
    <row r="56" spans="1:16">
      <c r="A56" s="29">
        <f t="shared" si="0"/>
        <v>55</v>
      </c>
      <c r="B56" s="75">
        <v>46084</v>
      </c>
      <c r="C56" s="63" t="s">
        <v>27</v>
      </c>
      <c r="D56" s="63" t="s">
        <v>28</v>
      </c>
      <c r="E56" s="101">
        <v>0.30208333333333331</v>
      </c>
      <c r="F56" s="64" t="str">
        <f>VLOOKUP(G56,'Vehicle List'!A:C,3,0)</f>
        <v>Rahul Roadlines</v>
      </c>
      <c r="G56" s="29" t="s">
        <v>78</v>
      </c>
      <c r="H56" s="29" t="s">
        <v>1290</v>
      </c>
      <c r="I56" s="29" t="s">
        <v>1289</v>
      </c>
      <c r="J56" s="64" t="str">
        <f>VLOOKUP(G56,'Vehicle List'!A:D,4,0)</f>
        <v>BJJ</v>
      </c>
      <c r="K56" s="64" t="s">
        <v>29</v>
      </c>
      <c r="L56" s="64" t="s">
        <v>19</v>
      </c>
      <c r="M56" s="64" t="s">
        <v>19</v>
      </c>
      <c r="N56" s="101">
        <v>0.30208333333333331</v>
      </c>
      <c r="O56" s="29" t="s">
        <v>1224</v>
      </c>
      <c r="P56" s="29" t="s">
        <v>21</v>
      </c>
    </row>
    <row r="57" spans="1:16">
      <c r="A57" s="29">
        <f t="shared" si="0"/>
        <v>56</v>
      </c>
      <c r="B57" s="75">
        <v>46084</v>
      </c>
      <c r="C57" s="63" t="s">
        <v>27</v>
      </c>
      <c r="D57" s="63" t="s">
        <v>28</v>
      </c>
      <c r="E57" s="101">
        <v>0.31944444444444442</v>
      </c>
      <c r="F57" s="64" t="str">
        <f>VLOOKUP(G57,'Vehicle List'!A:C,3,0)</f>
        <v>Anisha Logistics</v>
      </c>
      <c r="G57" s="29" t="s">
        <v>480</v>
      </c>
      <c r="H57" s="29" t="s">
        <v>1292</v>
      </c>
      <c r="I57" s="29" t="s">
        <v>1291</v>
      </c>
      <c r="J57" s="64" t="str">
        <f>VLOOKUP(G57,'Vehicle List'!A:D,4,0)</f>
        <v>Bhopal</v>
      </c>
      <c r="K57" s="64" t="s">
        <v>29</v>
      </c>
      <c r="L57" s="64" t="s">
        <v>19</v>
      </c>
      <c r="M57" s="64" t="s">
        <v>19</v>
      </c>
      <c r="N57" s="101">
        <v>0.31944444444444442</v>
      </c>
      <c r="O57" s="29" t="s">
        <v>1062</v>
      </c>
      <c r="P57" s="29" t="s">
        <v>30</v>
      </c>
    </row>
    <row r="58" spans="1:16">
      <c r="A58" s="29">
        <f t="shared" si="0"/>
        <v>57</v>
      </c>
      <c r="B58" s="75">
        <v>46084</v>
      </c>
      <c r="C58" s="63" t="s">
        <v>27</v>
      </c>
      <c r="D58" s="63" t="s">
        <v>28</v>
      </c>
      <c r="E58" s="101">
        <v>0.35416666666666669</v>
      </c>
      <c r="F58" s="64" t="str">
        <f>VLOOKUP(G58,'Vehicle List'!A:C,3,0)</f>
        <v>Expo Trans India Limited</v>
      </c>
      <c r="G58" s="29" t="s">
        <v>287</v>
      </c>
      <c r="H58" s="29" t="s">
        <v>1187</v>
      </c>
      <c r="I58" s="29" t="s">
        <v>1188</v>
      </c>
      <c r="J58" s="64" t="str">
        <f>VLOOKUP(G58,'Vehicle List'!A:D,4,0)</f>
        <v>Kolar</v>
      </c>
      <c r="K58" s="64" t="s">
        <v>29</v>
      </c>
      <c r="L58" s="64" t="s">
        <v>19</v>
      </c>
      <c r="M58" s="64" t="s">
        <v>19</v>
      </c>
      <c r="N58" s="101">
        <v>0.35416666666666669</v>
      </c>
      <c r="O58" s="29" t="s">
        <v>1189</v>
      </c>
      <c r="P58" s="29" t="s">
        <v>30</v>
      </c>
    </row>
    <row r="59" spans="1:16">
      <c r="A59" s="29">
        <f t="shared" si="0"/>
        <v>58</v>
      </c>
      <c r="B59" s="75">
        <v>46084</v>
      </c>
      <c r="C59" s="63" t="s">
        <v>27</v>
      </c>
      <c r="D59" s="63" t="s">
        <v>28</v>
      </c>
      <c r="E59" s="101">
        <v>0.3840277777777778</v>
      </c>
      <c r="F59" s="64" t="str">
        <f>VLOOKUP(G59,'Vehicle List'!A:C,3,0)</f>
        <v>Kongunadu Roadlines</v>
      </c>
      <c r="G59" s="29" t="s">
        <v>276</v>
      </c>
      <c r="H59" s="29" t="s">
        <v>1287</v>
      </c>
      <c r="I59" s="29" t="s">
        <v>1288</v>
      </c>
      <c r="J59" s="64" t="str">
        <f>VLOOKUP(G59,'Vehicle List'!A:D,4,0)</f>
        <v>KNCP</v>
      </c>
      <c r="K59" s="64" t="s">
        <v>26</v>
      </c>
      <c r="L59" s="64" t="s">
        <v>19</v>
      </c>
      <c r="M59" s="64" t="s">
        <v>20</v>
      </c>
      <c r="N59" s="101">
        <v>0.3840277777777778</v>
      </c>
      <c r="O59" s="29" t="s">
        <v>1286</v>
      </c>
      <c r="P59" s="29" t="s">
        <v>21</v>
      </c>
    </row>
    <row r="60" spans="1:16">
      <c r="A60" s="29">
        <f t="shared" si="0"/>
        <v>59</v>
      </c>
      <c r="B60" s="75">
        <v>46084</v>
      </c>
      <c r="C60" s="63" t="s">
        <v>27</v>
      </c>
      <c r="D60" s="63" t="s">
        <v>28</v>
      </c>
      <c r="E60" s="101">
        <v>0.45277777777777778</v>
      </c>
      <c r="F60" s="64" t="str">
        <f>VLOOKUP(G60,'Vehicle List'!A:C,3,0)</f>
        <v>Expo Trans India Limited</v>
      </c>
      <c r="G60" s="29" t="s">
        <v>40</v>
      </c>
      <c r="H60" s="29" t="s">
        <v>1229</v>
      </c>
      <c r="I60" s="29" t="s">
        <v>1230</v>
      </c>
      <c r="J60" s="64" t="str">
        <f>VLOOKUP(G60,'Vehicle List'!A:D,4,0)</f>
        <v>Chittoor</v>
      </c>
      <c r="K60" s="64" t="s">
        <v>29</v>
      </c>
      <c r="L60" s="64" t="s">
        <v>19</v>
      </c>
      <c r="M60" s="64" t="s">
        <v>19</v>
      </c>
      <c r="N60" s="101">
        <v>0.45277777777777778</v>
      </c>
      <c r="O60" s="29" t="s">
        <v>1225</v>
      </c>
      <c r="P60" s="29" t="s">
        <v>30</v>
      </c>
    </row>
    <row r="61" spans="1:16">
      <c r="A61" s="29">
        <f t="shared" si="0"/>
        <v>60</v>
      </c>
      <c r="B61" s="75">
        <v>46084</v>
      </c>
      <c r="C61" s="63" t="s">
        <v>27</v>
      </c>
      <c r="D61" s="63" t="s">
        <v>28</v>
      </c>
      <c r="E61" s="101">
        <v>0.4777777777777778</v>
      </c>
      <c r="F61" s="64" t="str">
        <f>VLOOKUP(G61,'Vehicle List'!A:C,3,0)</f>
        <v>Velan Gogreen Logistics Pvt Ltd</v>
      </c>
      <c r="G61" s="29" t="s">
        <v>34</v>
      </c>
      <c r="H61" s="29" t="s">
        <v>1293</v>
      </c>
      <c r="I61" s="29" t="s">
        <v>1256</v>
      </c>
      <c r="J61" s="64" t="str">
        <f>VLOOKUP(G61,'Vehicle List'!A:D,4,0)</f>
        <v>KNCP</v>
      </c>
      <c r="K61" s="64" t="s">
        <v>29</v>
      </c>
      <c r="L61" s="64" t="s">
        <v>19</v>
      </c>
      <c r="M61" s="64" t="s">
        <v>19</v>
      </c>
      <c r="N61" s="101">
        <v>0.4777777777777778</v>
      </c>
      <c r="O61" s="67" t="s">
        <v>1249</v>
      </c>
      <c r="P61" s="29" t="s">
        <v>30</v>
      </c>
    </row>
    <row r="62" spans="1:16">
      <c r="A62" s="29">
        <f t="shared" si="0"/>
        <v>61</v>
      </c>
      <c r="B62" s="75">
        <v>46084</v>
      </c>
      <c r="C62" s="63" t="s">
        <v>27</v>
      </c>
      <c r="D62" s="63" t="s">
        <v>28</v>
      </c>
      <c r="E62" s="101">
        <v>0.51249999999999996</v>
      </c>
      <c r="F62" s="64" t="str">
        <f>VLOOKUP(G62,'Vehicle List'!A:C,3,0)</f>
        <v>Rahul Roadlines</v>
      </c>
      <c r="G62" s="29" t="s">
        <v>608</v>
      </c>
      <c r="H62" s="29" t="s">
        <v>1043</v>
      </c>
      <c r="I62" s="29" t="s">
        <v>1044</v>
      </c>
      <c r="J62" s="64" t="str">
        <f>VLOOKUP(G62,'Vehicle List'!A:D,4,0)</f>
        <v>Ennore</v>
      </c>
      <c r="K62" s="64" t="s">
        <v>29</v>
      </c>
      <c r="L62" s="64" t="s">
        <v>19</v>
      </c>
      <c r="M62" s="64" t="s">
        <v>19</v>
      </c>
      <c r="N62" s="101">
        <v>0.51249999999999996</v>
      </c>
      <c r="O62" s="29" t="s">
        <v>1245</v>
      </c>
      <c r="P62" s="29" t="s">
        <v>30</v>
      </c>
    </row>
    <row r="63" spans="1:16">
      <c r="A63" s="29">
        <f t="shared" si="0"/>
        <v>62</v>
      </c>
      <c r="B63" s="75">
        <v>46084</v>
      </c>
      <c r="C63" s="63" t="s">
        <v>1123</v>
      </c>
      <c r="D63" s="63" t="s">
        <v>39</v>
      </c>
      <c r="E63" s="101">
        <v>0.61805555555555558</v>
      </c>
      <c r="F63" s="64" t="str">
        <f>VLOOKUP(G63,'Vehicle List'!A:C,3,0)</f>
        <v>Gas Point</v>
      </c>
      <c r="G63" s="29" t="s">
        <v>492</v>
      </c>
      <c r="H63" s="29" t="s">
        <v>1297</v>
      </c>
      <c r="I63" s="29" t="s">
        <v>1296</v>
      </c>
      <c r="J63" s="64" t="str">
        <f>VLOOKUP(G63,'Vehicle List'!A:D,4,0)</f>
        <v>Bhopal</v>
      </c>
      <c r="K63" s="64" t="s">
        <v>29</v>
      </c>
      <c r="L63" s="64" t="s">
        <v>19</v>
      </c>
      <c r="M63" s="64" t="s">
        <v>19</v>
      </c>
      <c r="N63" s="101">
        <v>0.62291666666666667</v>
      </c>
      <c r="O63" s="29" t="s">
        <v>1284</v>
      </c>
      <c r="P63" s="29" t="s">
        <v>30</v>
      </c>
    </row>
    <row r="64" spans="1:16">
      <c r="A64" s="29">
        <f t="shared" si="0"/>
        <v>63</v>
      </c>
      <c r="B64" s="75">
        <v>46084</v>
      </c>
      <c r="C64" s="63" t="s">
        <v>1123</v>
      </c>
      <c r="D64" s="63" t="s">
        <v>39</v>
      </c>
      <c r="E64" s="101">
        <v>0.6479166666666667</v>
      </c>
      <c r="F64" s="64" t="str">
        <f>VLOOKUP(G64,'Vehicle List'!A:C,3,0)</f>
        <v>Kongunadu Roadlines</v>
      </c>
      <c r="G64" s="29" t="s">
        <v>44</v>
      </c>
      <c r="H64" s="29" t="s">
        <v>1215</v>
      </c>
      <c r="I64" s="29" t="s">
        <v>1084</v>
      </c>
      <c r="J64" s="64" t="str">
        <f>VLOOKUP(G64,'Vehicle List'!A:D,4,0)</f>
        <v>Vellore</v>
      </c>
      <c r="K64" s="64" t="s">
        <v>29</v>
      </c>
      <c r="L64" s="64" t="s">
        <v>19</v>
      </c>
      <c r="M64" s="64" t="s">
        <v>19</v>
      </c>
      <c r="N64" s="101">
        <v>0.65069444444444446</v>
      </c>
      <c r="O64" s="29" t="s">
        <v>1109</v>
      </c>
      <c r="P64" s="29" t="s">
        <v>30</v>
      </c>
    </row>
    <row r="65" spans="1:16">
      <c r="A65" s="29">
        <f t="shared" si="0"/>
        <v>64</v>
      </c>
      <c r="B65" s="75">
        <v>46084</v>
      </c>
      <c r="C65" s="63" t="s">
        <v>1123</v>
      </c>
      <c r="D65" s="63" t="s">
        <v>39</v>
      </c>
      <c r="E65" s="101">
        <v>0.64583333333333337</v>
      </c>
      <c r="F65" s="64" t="str">
        <f>VLOOKUP(G65,'Vehicle List'!A:C,3,0)</f>
        <v>Rahul Roadlines</v>
      </c>
      <c r="G65" s="29" t="s">
        <v>1103</v>
      </c>
      <c r="H65" s="29" t="s">
        <v>1299</v>
      </c>
      <c r="I65" s="29" t="s">
        <v>1298</v>
      </c>
      <c r="J65" s="64" t="str">
        <f>VLOOKUP(G65,'Vehicle List'!A:D,4,0)</f>
        <v>Bhopal</v>
      </c>
      <c r="K65" s="64" t="s">
        <v>29</v>
      </c>
      <c r="L65" s="64" t="s">
        <v>19</v>
      </c>
      <c r="M65" s="64" t="s">
        <v>19</v>
      </c>
      <c r="N65" s="101">
        <v>0.65277777777777779</v>
      </c>
      <c r="O65" s="29" t="s">
        <v>1315</v>
      </c>
      <c r="P65" s="29" t="s">
        <v>30</v>
      </c>
    </row>
    <row r="66" spans="1:16">
      <c r="A66" s="29">
        <f t="shared" si="0"/>
        <v>65</v>
      </c>
      <c r="B66" s="75">
        <v>46084</v>
      </c>
      <c r="C66" s="63" t="s">
        <v>1123</v>
      </c>
      <c r="D66" s="63" t="s">
        <v>39</v>
      </c>
      <c r="E66" s="101">
        <v>0.65902777777777777</v>
      </c>
      <c r="F66" s="64" t="str">
        <f>VLOOKUP(G66,'Vehicle List'!A:C,3,0)</f>
        <v>Rahul Roadlines</v>
      </c>
      <c r="G66" s="29" t="s">
        <v>608</v>
      </c>
      <c r="H66" s="29" t="s">
        <v>1043</v>
      </c>
      <c r="I66" s="29" t="s">
        <v>1044</v>
      </c>
      <c r="J66" s="64" t="str">
        <f>VLOOKUP(G66,'Vehicle List'!A:D,4,0)</f>
        <v>Ennore</v>
      </c>
      <c r="K66" s="64" t="s">
        <v>29</v>
      </c>
      <c r="L66" s="64" t="s">
        <v>19</v>
      </c>
      <c r="M66" s="64" t="s">
        <v>19</v>
      </c>
      <c r="N66" s="101">
        <v>0.66249999999999998</v>
      </c>
      <c r="O66" s="29" t="s">
        <v>1245</v>
      </c>
      <c r="P66" s="29" t="s">
        <v>30</v>
      </c>
    </row>
    <row r="67" spans="1:16">
      <c r="A67" s="29">
        <f t="shared" ref="A67:A130" si="1">A66+1</f>
        <v>66</v>
      </c>
      <c r="B67" s="75">
        <v>46084</v>
      </c>
      <c r="C67" s="63" t="s">
        <v>1123</v>
      </c>
      <c r="D67" s="63" t="s">
        <v>39</v>
      </c>
      <c r="E67" s="101">
        <v>0.72777777777777775</v>
      </c>
      <c r="F67" s="64" t="str">
        <f>VLOOKUP(G67,'Vehicle List'!A:C,3,0)</f>
        <v>Sritransways Logistics</v>
      </c>
      <c r="G67" s="29" t="s">
        <v>574</v>
      </c>
      <c r="H67" s="29" t="s">
        <v>1301</v>
      </c>
      <c r="I67" s="29" t="s">
        <v>1300</v>
      </c>
      <c r="J67" s="64" t="str">
        <f>VLOOKUP(G67,'Vehicle List'!A:D,4,0)</f>
        <v>AKT</v>
      </c>
      <c r="K67" s="64" t="s">
        <v>29</v>
      </c>
      <c r="L67" s="64" t="s">
        <v>19</v>
      </c>
      <c r="M67" s="64" t="s">
        <v>19</v>
      </c>
      <c r="N67" s="101">
        <v>0.73750000000000004</v>
      </c>
      <c r="O67" s="29" t="s">
        <v>1260</v>
      </c>
      <c r="P67" s="29" t="s">
        <v>21</v>
      </c>
    </row>
    <row r="68" spans="1:16">
      <c r="A68" s="29">
        <f t="shared" si="1"/>
        <v>67</v>
      </c>
      <c r="B68" s="75">
        <v>46084</v>
      </c>
      <c r="C68" s="63" t="s">
        <v>1123</v>
      </c>
      <c r="D68" s="63" t="s">
        <v>39</v>
      </c>
      <c r="E68" s="101">
        <v>0.72986111111111107</v>
      </c>
      <c r="F68" s="64" t="str">
        <f>VLOOKUP(G68,'Vehicle List'!A:C,3,0)</f>
        <v>Expo Trans India Limited</v>
      </c>
      <c r="G68" s="29" t="s">
        <v>325</v>
      </c>
      <c r="H68" s="29" t="s">
        <v>1304</v>
      </c>
      <c r="I68" s="29" t="s">
        <v>1305</v>
      </c>
      <c r="J68" s="64" t="str">
        <f>VLOOKUP(G68,'Vehicle List'!A:D,4,0)</f>
        <v>Kolar</v>
      </c>
      <c r="K68" s="64" t="s">
        <v>26</v>
      </c>
      <c r="L68" s="64" t="s">
        <v>19</v>
      </c>
      <c r="M68" s="64" t="s">
        <v>20</v>
      </c>
      <c r="N68" s="101">
        <v>0.75416666666666665</v>
      </c>
      <c r="O68" s="29" t="s">
        <v>1295</v>
      </c>
      <c r="P68" s="29" t="s">
        <v>21</v>
      </c>
    </row>
    <row r="69" spans="1:16">
      <c r="A69" s="29">
        <f t="shared" si="1"/>
        <v>68</v>
      </c>
      <c r="B69" s="75">
        <v>46084</v>
      </c>
      <c r="C69" s="63" t="s">
        <v>1123</v>
      </c>
      <c r="D69" s="63" t="s">
        <v>39</v>
      </c>
      <c r="E69" s="101">
        <v>0.78472222222222221</v>
      </c>
      <c r="F69" s="64" t="str">
        <f>VLOOKUP(G69,'Vehicle List'!A:C,3,0)</f>
        <v>Kongunadu Roadlines</v>
      </c>
      <c r="G69" s="29" t="s">
        <v>450</v>
      </c>
      <c r="H69" s="29" t="s">
        <v>1303</v>
      </c>
      <c r="I69" s="29" t="s">
        <v>1302</v>
      </c>
      <c r="J69" s="64" t="str">
        <f>VLOOKUP(G69,'Vehicle List'!A:D,4,0)</f>
        <v>CHK</v>
      </c>
      <c r="K69" s="64" t="s">
        <v>29</v>
      </c>
      <c r="L69" s="64" t="s">
        <v>19</v>
      </c>
      <c r="M69" s="64" t="s">
        <v>19</v>
      </c>
      <c r="N69" s="101">
        <v>0.7944444444444444</v>
      </c>
      <c r="O69" s="29" t="s">
        <v>1195</v>
      </c>
      <c r="P69" s="29" t="s">
        <v>21</v>
      </c>
    </row>
    <row r="70" spans="1:16">
      <c r="A70" s="29">
        <f t="shared" si="1"/>
        <v>69</v>
      </c>
      <c r="B70" s="75">
        <v>46084</v>
      </c>
      <c r="C70" s="63" t="s">
        <v>1123</v>
      </c>
      <c r="D70" s="63" t="s">
        <v>39</v>
      </c>
      <c r="E70" s="101">
        <v>0.80555555555555558</v>
      </c>
      <c r="F70" s="64" t="str">
        <f>VLOOKUP(G70,'Vehicle List'!A:C,3,0)</f>
        <v>Kongunadu Roadlines</v>
      </c>
      <c r="G70" s="29" t="s">
        <v>366</v>
      </c>
      <c r="H70" s="29" t="s">
        <v>865</v>
      </c>
      <c r="I70" s="29" t="s">
        <v>866</v>
      </c>
      <c r="J70" s="64" t="str">
        <f>VLOOKUP(G70,'Vehicle List'!A:D,4,0)</f>
        <v>KNV</v>
      </c>
      <c r="K70" s="64" t="s">
        <v>29</v>
      </c>
      <c r="L70" s="64" t="s">
        <v>19</v>
      </c>
      <c r="M70" s="64" t="s">
        <v>19</v>
      </c>
      <c r="N70" s="101">
        <v>0.80763888888888891</v>
      </c>
      <c r="O70" s="29" t="s">
        <v>1312</v>
      </c>
      <c r="P70" s="29" t="s">
        <v>30</v>
      </c>
    </row>
    <row r="71" spans="1:16">
      <c r="A71" s="29">
        <f t="shared" si="1"/>
        <v>70</v>
      </c>
      <c r="B71" s="75">
        <v>46084</v>
      </c>
      <c r="C71" s="63" t="s">
        <v>1123</v>
      </c>
      <c r="D71" s="63" t="s">
        <v>39</v>
      </c>
      <c r="E71" s="101">
        <v>0.85763888888888884</v>
      </c>
      <c r="F71" s="64" t="str">
        <f>VLOOKUP(G71,'Vehicle List'!A:C,3,0)</f>
        <v>Dhinesh Transports</v>
      </c>
      <c r="G71" s="29" t="s">
        <v>370</v>
      </c>
      <c r="H71" s="29" t="s">
        <v>1313</v>
      </c>
      <c r="I71" s="29" t="s">
        <v>1194</v>
      </c>
      <c r="J71" s="64" t="str">
        <f>VLOOKUP(G71,'Vehicle List'!A:D,4,0)</f>
        <v>KNCP</v>
      </c>
      <c r="K71" s="64" t="s">
        <v>29</v>
      </c>
      <c r="L71" s="64" t="s">
        <v>19</v>
      </c>
      <c r="M71" s="64" t="s">
        <v>19</v>
      </c>
      <c r="N71" s="101">
        <v>0.86041666666666672</v>
      </c>
      <c r="O71" s="29" t="s">
        <v>1317</v>
      </c>
      <c r="P71" s="29" t="s">
        <v>30</v>
      </c>
    </row>
    <row r="72" spans="1:16">
      <c r="A72" s="29">
        <f t="shared" si="1"/>
        <v>71</v>
      </c>
      <c r="B72" s="75">
        <v>46084</v>
      </c>
      <c r="C72" s="63" t="s">
        <v>1268</v>
      </c>
      <c r="D72" s="63" t="s">
        <v>16</v>
      </c>
      <c r="E72" s="101">
        <v>0.93333333333333335</v>
      </c>
      <c r="F72" s="64" t="str">
        <f>VLOOKUP(G72,'Vehicle List'!A:C,3,0)</f>
        <v>Rahul Roadlines</v>
      </c>
      <c r="G72" s="29" t="s">
        <v>426</v>
      </c>
      <c r="H72" s="29" t="s">
        <v>1322</v>
      </c>
      <c r="I72" s="29" t="s">
        <v>1323</v>
      </c>
      <c r="J72" s="64" t="str">
        <f>VLOOKUP(G72,'Vehicle List'!A:D,4,0)</f>
        <v>BKR</v>
      </c>
      <c r="K72" s="64" t="s">
        <v>29</v>
      </c>
      <c r="L72" s="64" t="s">
        <v>19</v>
      </c>
      <c r="M72" s="64" t="s">
        <v>19</v>
      </c>
      <c r="N72" s="101">
        <v>0.93333333333333335</v>
      </c>
      <c r="O72" s="29" t="s">
        <v>1284</v>
      </c>
      <c r="P72" s="29" t="s">
        <v>21</v>
      </c>
    </row>
    <row r="73" spans="1:16">
      <c r="A73" s="29">
        <f t="shared" si="1"/>
        <v>72</v>
      </c>
      <c r="B73" s="75">
        <v>46084</v>
      </c>
      <c r="C73" s="63" t="s">
        <v>1268</v>
      </c>
      <c r="D73" s="63" t="s">
        <v>16</v>
      </c>
      <c r="E73" s="101">
        <v>0.93541666666666667</v>
      </c>
      <c r="F73" s="64" t="str">
        <f>VLOOKUP(G73,'Vehicle List'!A:C,3,0)</f>
        <v>Kongunadu Roadlines</v>
      </c>
      <c r="G73" s="29" t="s">
        <v>101</v>
      </c>
      <c r="H73" s="29" t="s">
        <v>1320</v>
      </c>
      <c r="I73" s="29" t="s">
        <v>1321</v>
      </c>
      <c r="J73" s="64" t="str">
        <f>VLOOKUP(G73,'Vehicle List'!A:D,4,0)</f>
        <v>Ennore</v>
      </c>
      <c r="K73" s="64" t="s">
        <v>29</v>
      </c>
      <c r="L73" s="64" t="s">
        <v>19</v>
      </c>
      <c r="M73" s="64" t="s">
        <v>19</v>
      </c>
      <c r="N73" s="101">
        <v>0.93541666666666667</v>
      </c>
      <c r="O73" s="29" t="s">
        <v>1207</v>
      </c>
      <c r="P73" s="29" t="s">
        <v>21</v>
      </c>
    </row>
    <row r="74" spans="1:16">
      <c r="A74" s="29">
        <f t="shared" si="1"/>
        <v>73</v>
      </c>
      <c r="B74" s="75">
        <v>46084</v>
      </c>
      <c r="C74" s="63" t="s">
        <v>1268</v>
      </c>
      <c r="D74" s="63" t="s">
        <v>16</v>
      </c>
      <c r="E74" s="101">
        <v>0.93958333333333333</v>
      </c>
      <c r="F74" s="64" t="str">
        <f>VLOOKUP(G74,'Vehicle List'!A:C,3,0)</f>
        <v>Kongunadu Roadlines</v>
      </c>
      <c r="G74" s="29" t="s">
        <v>435</v>
      </c>
      <c r="H74" s="29" t="s">
        <v>1269</v>
      </c>
      <c r="I74" s="29" t="s">
        <v>1270</v>
      </c>
      <c r="J74" s="64" t="str">
        <f>VLOOKUP(G74,'Vehicle List'!A:D,4,0)</f>
        <v>Vellore</v>
      </c>
      <c r="K74" s="64" t="s">
        <v>29</v>
      </c>
      <c r="L74" s="64" t="s">
        <v>19</v>
      </c>
      <c r="M74" s="64" t="s">
        <v>19</v>
      </c>
      <c r="N74" s="101">
        <v>0.93958333333333333</v>
      </c>
      <c r="O74" s="29" t="s">
        <v>1271</v>
      </c>
      <c r="P74" s="29" t="s">
        <v>30</v>
      </c>
    </row>
    <row r="75" spans="1:16">
      <c r="A75" s="29">
        <f t="shared" si="1"/>
        <v>74</v>
      </c>
      <c r="B75" s="75">
        <v>46084</v>
      </c>
      <c r="C75" s="63" t="s">
        <v>1268</v>
      </c>
      <c r="D75" s="63" t="s">
        <v>16</v>
      </c>
      <c r="E75" s="101">
        <v>0.96388888888888891</v>
      </c>
      <c r="F75" s="64" t="str">
        <f>VLOOKUP(G75,'Vehicle List'!A:C,3,0)</f>
        <v>Rahul Roadlines</v>
      </c>
      <c r="G75" s="29" t="s">
        <v>447</v>
      </c>
      <c r="H75" s="29" t="s">
        <v>1318</v>
      </c>
      <c r="I75" s="29" t="s">
        <v>1319</v>
      </c>
      <c r="J75" s="64" t="str">
        <f>VLOOKUP(G75,'Vehicle List'!A:D,4,0)</f>
        <v>ANK</v>
      </c>
      <c r="K75" s="64" t="s">
        <v>29</v>
      </c>
      <c r="L75" s="64" t="s">
        <v>19</v>
      </c>
      <c r="M75" s="64" t="s">
        <v>19</v>
      </c>
      <c r="N75" s="101">
        <v>0.96388888888888891</v>
      </c>
      <c r="O75" s="29" t="s">
        <v>1271</v>
      </c>
      <c r="P75" s="29" t="s">
        <v>21</v>
      </c>
    </row>
    <row r="76" spans="1:16">
      <c r="A76" s="29">
        <f t="shared" si="1"/>
        <v>75</v>
      </c>
      <c r="B76" s="75">
        <v>46085</v>
      </c>
      <c r="C76" s="63" t="s">
        <v>1268</v>
      </c>
      <c r="D76" s="63" t="s">
        <v>16</v>
      </c>
      <c r="E76" s="101">
        <v>1.8055555555555554E-2</v>
      </c>
      <c r="F76" s="64" t="str">
        <f>VLOOKUP(G76,'Vehicle List'!A:C,3,0)</f>
        <v>Kongunadu Roadlines</v>
      </c>
      <c r="G76" s="29" t="s">
        <v>570</v>
      </c>
      <c r="H76" s="29" t="s">
        <v>1326</v>
      </c>
      <c r="I76" s="29" t="s">
        <v>1327</v>
      </c>
      <c r="J76" s="64" t="str">
        <f>VLOOKUP(G76,'Vehicle List'!A:D,4,0)</f>
        <v>AKT</v>
      </c>
      <c r="K76" s="64" t="s">
        <v>26</v>
      </c>
      <c r="L76" s="64" t="s">
        <v>19</v>
      </c>
      <c r="M76" s="64" t="s">
        <v>20</v>
      </c>
      <c r="N76" s="101">
        <v>0.18263888888888888</v>
      </c>
      <c r="O76" s="29" t="s">
        <v>1227</v>
      </c>
      <c r="P76" s="29" t="s">
        <v>21</v>
      </c>
    </row>
    <row r="77" spans="1:16">
      <c r="A77" s="29">
        <f t="shared" si="1"/>
        <v>76</v>
      </c>
      <c r="B77" s="75">
        <v>46085</v>
      </c>
      <c r="C77" s="63" t="s">
        <v>1268</v>
      </c>
      <c r="D77" s="63" t="s">
        <v>16</v>
      </c>
      <c r="E77" s="101">
        <v>1.7361111111111112E-2</v>
      </c>
      <c r="F77" s="64" t="str">
        <f>VLOOKUP(G77,'Vehicle List'!A:C,3,0)</f>
        <v>Sritransways Logistics</v>
      </c>
      <c r="G77" s="29" t="s">
        <v>574</v>
      </c>
      <c r="H77" s="29" t="s">
        <v>1301</v>
      </c>
      <c r="I77" s="29" t="s">
        <v>1300</v>
      </c>
      <c r="J77" s="64" t="str">
        <f>VLOOKUP(G77,'Vehicle List'!A:D,4,0)</f>
        <v>AKT</v>
      </c>
      <c r="K77" s="64" t="s">
        <v>29</v>
      </c>
      <c r="L77" s="64" t="s">
        <v>19</v>
      </c>
      <c r="M77" s="64" t="s">
        <v>19</v>
      </c>
      <c r="N77" s="101">
        <v>1.7361111111111112E-2</v>
      </c>
      <c r="O77" s="29" t="s">
        <v>1260</v>
      </c>
      <c r="P77" s="29" t="s">
        <v>30</v>
      </c>
    </row>
    <row r="78" spans="1:16">
      <c r="A78" s="29">
        <f t="shared" si="1"/>
        <v>77</v>
      </c>
      <c r="B78" s="75">
        <v>46085</v>
      </c>
      <c r="C78" s="63" t="s">
        <v>1268</v>
      </c>
      <c r="D78" s="63" t="s">
        <v>16</v>
      </c>
      <c r="E78" s="101">
        <v>6.25E-2</v>
      </c>
      <c r="F78" s="64" t="str">
        <f>VLOOKUP(G78,'Vehicle List'!A:C,3,0)</f>
        <v>Kongunadu Roadlines</v>
      </c>
      <c r="G78" s="29" t="s">
        <v>74</v>
      </c>
      <c r="H78" s="29" t="s">
        <v>1324</v>
      </c>
      <c r="I78" s="29" t="s">
        <v>1325</v>
      </c>
      <c r="J78" s="64" t="str">
        <f>VLOOKUP(G78,'Vehicle List'!A:D,4,0)</f>
        <v>Ennore</v>
      </c>
      <c r="K78" s="64" t="s">
        <v>26</v>
      </c>
      <c r="L78" s="64" t="s">
        <v>19</v>
      </c>
      <c r="M78" s="64" t="s">
        <v>20</v>
      </c>
      <c r="N78" s="101">
        <v>0.18888888888888888</v>
      </c>
      <c r="O78" s="29" t="s">
        <v>1085</v>
      </c>
      <c r="P78" s="29" t="s">
        <v>21</v>
      </c>
    </row>
    <row r="79" spans="1:16">
      <c r="A79" s="29">
        <f t="shared" si="1"/>
        <v>78</v>
      </c>
      <c r="B79" s="75">
        <v>46085</v>
      </c>
      <c r="C79" s="63" t="s">
        <v>1268</v>
      </c>
      <c r="D79" s="63" t="s">
        <v>16</v>
      </c>
      <c r="E79" s="101">
        <v>0.2076388888888889</v>
      </c>
      <c r="F79" s="64" t="str">
        <f>VLOOKUP(G79,'Vehicle List'!A:C,3,0)</f>
        <v>Kongunadu Roadlines</v>
      </c>
      <c r="G79" s="29" t="s">
        <v>58</v>
      </c>
      <c r="H79" s="29" t="s">
        <v>1328</v>
      </c>
      <c r="I79" s="29" t="s">
        <v>1329</v>
      </c>
      <c r="J79" s="64" t="str">
        <f>VLOOKUP(G79,'Vehicle List'!A:D,4,0)</f>
        <v>Ennore</v>
      </c>
      <c r="K79" s="64" t="s">
        <v>29</v>
      </c>
      <c r="L79" s="64" t="s">
        <v>19</v>
      </c>
      <c r="M79" s="64" t="s">
        <v>19</v>
      </c>
      <c r="N79" s="101">
        <v>0.2076388888888889</v>
      </c>
      <c r="O79" s="29" t="s">
        <v>1271</v>
      </c>
      <c r="P79" s="29" t="s">
        <v>21</v>
      </c>
    </row>
    <row r="80" spans="1:16">
      <c r="A80" s="29">
        <f t="shared" si="1"/>
        <v>79</v>
      </c>
      <c r="B80" s="75">
        <v>46085</v>
      </c>
      <c r="C80" s="63" t="s">
        <v>27</v>
      </c>
      <c r="D80" s="63" t="s">
        <v>28</v>
      </c>
      <c r="E80" s="101">
        <v>0.26527777777777778</v>
      </c>
      <c r="F80" s="64" t="str">
        <f>VLOOKUP(G80,'Vehicle List'!A:C,3,0)</f>
        <v>Kongunadu Roadlines</v>
      </c>
      <c r="G80" s="29" t="s">
        <v>318</v>
      </c>
      <c r="H80" s="29" t="s">
        <v>1190</v>
      </c>
      <c r="I80" s="29" t="s">
        <v>1191</v>
      </c>
      <c r="J80" s="64" t="str">
        <f>VLOOKUP(G80,'Vehicle List'!A:D,4,0)</f>
        <v>KNCP</v>
      </c>
      <c r="K80" s="64" t="s">
        <v>29</v>
      </c>
      <c r="L80" s="64" t="s">
        <v>19</v>
      </c>
      <c r="M80" s="64" t="s">
        <v>19</v>
      </c>
      <c r="N80" s="101">
        <v>0.26527777777777778</v>
      </c>
      <c r="O80" s="29" t="s">
        <v>1331</v>
      </c>
      <c r="P80" s="29" t="s">
        <v>30</v>
      </c>
    </row>
    <row r="81" spans="1:16">
      <c r="A81" s="29">
        <f t="shared" si="1"/>
        <v>80</v>
      </c>
      <c r="B81" s="75">
        <v>46085</v>
      </c>
      <c r="C81" s="63" t="s">
        <v>27</v>
      </c>
      <c r="D81" s="63" t="s">
        <v>28</v>
      </c>
      <c r="E81" s="101">
        <v>0.27291666666666664</v>
      </c>
      <c r="F81" s="64" t="str">
        <f>VLOOKUP(G81,'Vehicle List'!A:C,3,0)</f>
        <v>Velan Gogreen Logistics Pvt Ltd</v>
      </c>
      <c r="G81" s="29" t="s">
        <v>34</v>
      </c>
      <c r="H81" s="29" t="s">
        <v>1257</v>
      </c>
      <c r="I81" s="29" t="s">
        <v>1256</v>
      </c>
      <c r="J81" s="64" t="str">
        <f>VLOOKUP(G81,'Vehicle List'!A:D,4,0)</f>
        <v>KNCP</v>
      </c>
      <c r="K81" s="64" t="s">
        <v>29</v>
      </c>
      <c r="L81" s="64" t="s">
        <v>19</v>
      </c>
      <c r="M81" s="64" t="s">
        <v>19</v>
      </c>
      <c r="N81" s="101">
        <v>0.27291666666666664</v>
      </c>
      <c r="O81" s="67" t="s">
        <v>1249</v>
      </c>
      <c r="P81" s="29" t="s">
        <v>30</v>
      </c>
    </row>
    <row r="82" spans="1:16">
      <c r="A82" s="29">
        <f t="shared" si="1"/>
        <v>81</v>
      </c>
      <c r="B82" s="75">
        <v>46085</v>
      </c>
      <c r="C82" s="63" t="s">
        <v>27</v>
      </c>
      <c r="D82" s="63" t="s">
        <v>28</v>
      </c>
      <c r="E82" s="101">
        <v>0.27638888888888891</v>
      </c>
      <c r="F82" s="64" t="str">
        <f>VLOOKUP(G82,'Vehicle List'!A:C,3,0)</f>
        <v>Kongunadu Roadlines</v>
      </c>
      <c r="G82" s="29" t="s">
        <v>99</v>
      </c>
      <c r="H82" s="29" t="s">
        <v>1200</v>
      </c>
      <c r="I82" s="29" t="s">
        <v>1250</v>
      </c>
      <c r="J82" s="64" t="str">
        <f>VLOOKUP(G82,'Vehicle List'!A:D,4,0)</f>
        <v>Ennore</v>
      </c>
      <c r="K82" s="64" t="s">
        <v>29</v>
      </c>
      <c r="L82" s="64" t="s">
        <v>19</v>
      </c>
      <c r="M82" s="64" t="s">
        <v>19</v>
      </c>
      <c r="N82" s="101">
        <v>0.27638888888888891</v>
      </c>
      <c r="O82" s="29" t="s">
        <v>1312</v>
      </c>
      <c r="P82" s="29" t="s">
        <v>30</v>
      </c>
    </row>
    <row r="83" spans="1:16">
      <c r="A83" s="29">
        <f t="shared" si="1"/>
        <v>82</v>
      </c>
      <c r="B83" s="75">
        <v>46085</v>
      </c>
      <c r="C83" s="63" t="s">
        <v>27</v>
      </c>
      <c r="D83" s="63" t="s">
        <v>28</v>
      </c>
      <c r="E83" s="101">
        <v>0.31319444444444444</v>
      </c>
      <c r="F83" s="64" t="str">
        <f>VLOOKUP(G83,'Vehicle List'!A:C,3,0)</f>
        <v>Rahul Roadlines</v>
      </c>
      <c r="G83" s="29" t="s">
        <v>616</v>
      </c>
      <c r="H83" s="29" t="s">
        <v>1334</v>
      </c>
      <c r="I83" s="29" t="s">
        <v>1333</v>
      </c>
      <c r="J83" s="64" t="str">
        <f>VLOOKUP(G83,'Vehicle List'!A:D,4,0)</f>
        <v>Kochi</v>
      </c>
      <c r="K83" s="64" t="s">
        <v>29</v>
      </c>
      <c r="L83" s="64" t="s">
        <v>19</v>
      </c>
      <c r="M83" s="64" t="s">
        <v>19</v>
      </c>
      <c r="N83" s="101">
        <v>0.31319444444444444</v>
      </c>
      <c r="O83" s="29" t="s">
        <v>1224</v>
      </c>
      <c r="P83" s="29" t="s">
        <v>30</v>
      </c>
    </row>
    <row r="84" spans="1:16">
      <c r="A84" s="29">
        <f t="shared" si="1"/>
        <v>83</v>
      </c>
      <c r="B84" s="75">
        <v>46085</v>
      </c>
      <c r="C84" s="63" t="s">
        <v>27</v>
      </c>
      <c r="D84" s="63" t="s">
        <v>28</v>
      </c>
      <c r="E84" s="101">
        <v>0.38750000000000001</v>
      </c>
      <c r="F84" s="64" t="str">
        <f>VLOOKUP(G84,'Vehicle List'!A:C,3,0)</f>
        <v>Velan Gogreen Logistics Pvt Ltd</v>
      </c>
      <c r="G84" s="29" t="s">
        <v>404</v>
      </c>
      <c r="H84" s="29" t="s">
        <v>1336</v>
      </c>
      <c r="I84" s="29" t="s">
        <v>1335</v>
      </c>
      <c r="J84" s="64" t="str">
        <f>VLOOKUP(G84,'Vehicle List'!A:D,4,0)</f>
        <v>KNCP</v>
      </c>
      <c r="K84" s="64" t="s">
        <v>29</v>
      </c>
      <c r="L84" s="64" t="s">
        <v>19</v>
      </c>
      <c r="M84" s="64" t="s">
        <v>19</v>
      </c>
      <c r="N84" s="101">
        <v>0.38750000000000001</v>
      </c>
      <c r="O84" s="29" t="s">
        <v>1224</v>
      </c>
      <c r="P84" s="29" t="s">
        <v>30</v>
      </c>
    </row>
    <row r="85" spans="1:16">
      <c r="A85" s="29">
        <f t="shared" si="1"/>
        <v>84</v>
      </c>
      <c r="B85" s="75">
        <v>46085</v>
      </c>
      <c r="C85" s="63" t="s">
        <v>27</v>
      </c>
      <c r="D85" s="63" t="s">
        <v>28</v>
      </c>
      <c r="E85" s="101">
        <v>0.41041666666666665</v>
      </c>
      <c r="F85" s="64" t="str">
        <f>VLOOKUP(G85,'Vehicle List'!A:C,3,0)</f>
        <v>Expo Trans India Limited</v>
      </c>
      <c r="G85" s="29" t="s">
        <v>523</v>
      </c>
      <c r="H85" s="29" t="s">
        <v>1338</v>
      </c>
      <c r="I85" s="29" t="s">
        <v>1337</v>
      </c>
      <c r="J85" s="64" t="str">
        <f>VLOOKUP(G85,'Vehicle List'!A:D,4,0)</f>
        <v>Jalandhar</v>
      </c>
      <c r="K85" s="64" t="s">
        <v>29</v>
      </c>
      <c r="L85" s="64" t="s">
        <v>19</v>
      </c>
      <c r="M85" s="64" t="s">
        <v>19</v>
      </c>
      <c r="N85" s="101">
        <v>0.41041666666666665</v>
      </c>
      <c r="O85" s="29" t="s">
        <v>1062</v>
      </c>
      <c r="P85" s="29" t="s">
        <v>21</v>
      </c>
    </row>
    <row r="86" spans="1:16">
      <c r="A86" s="29">
        <f t="shared" si="1"/>
        <v>85</v>
      </c>
      <c r="B86" s="75">
        <v>46085</v>
      </c>
      <c r="C86" s="63" t="s">
        <v>27</v>
      </c>
      <c r="D86" s="63" t="s">
        <v>28</v>
      </c>
      <c r="E86" s="101">
        <v>0.43472222222222223</v>
      </c>
      <c r="F86" s="64" t="str">
        <f>VLOOKUP(G86,'Vehicle List'!A:C,3,0)</f>
        <v>Kongunadu Roadlines</v>
      </c>
      <c r="G86" s="29" t="s">
        <v>276</v>
      </c>
      <c r="H86" s="29" t="s">
        <v>1287</v>
      </c>
      <c r="I86" s="29" t="s">
        <v>1288</v>
      </c>
      <c r="J86" s="64" t="str">
        <f>VLOOKUP(G86,'Vehicle List'!A:D,4,0)</f>
        <v>KNCP</v>
      </c>
      <c r="K86" s="64" t="s">
        <v>26</v>
      </c>
      <c r="L86" s="64" t="s">
        <v>19</v>
      </c>
      <c r="M86" s="64" t="s">
        <v>20</v>
      </c>
      <c r="N86" s="101">
        <v>0.47222222222222221</v>
      </c>
      <c r="O86" s="29" t="s">
        <v>1286</v>
      </c>
      <c r="P86" s="29" t="s">
        <v>21</v>
      </c>
    </row>
    <row r="87" spans="1:16">
      <c r="A87" s="29">
        <f t="shared" si="1"/>
        <v>86</v>
      </c>
      <c r="B87" s="75">
        <v>46085</v>
      </c>
      <c r="C87" s="63" t="s">
        <v>27</v>
      </c>
      <c r="D87" s="63" t="s">
        <v>28</v>
      </c>
      <c r="E87" s="101">
        <v>0.47569444444444442</v>
      </c>
      <c r="F87" s="64" t="str">
        <f>VLOOKUP(G87,'Vehicle List'!A:C,3,0)</f>
        <v>Anmol Transport</v>
      </c>
      <c r="G87" s="29" t="s">
        <v>563</v>
      </c>
      <c r="H87" s="29" t="s">
        <v>1338</v>
      </c>
      <c r="I87" s="29" t="s">
        <v>1337</v>
      </c>
      <c r="J87" s="64" t="str">
        <f>VLOOKUP(G87,'Vehicle List'!A:D,4,0)</f>
        <v>Jalandhar</v>
      </c>
      <c r="K87" s="64" t="s">
        <v>29</v>
      </c>
      <c r="L87" s="64" t="s">
        <v>19</v>
      </c>
      <c r="M87" s="64" t="s">
        <v>19</v>
      </c>
      <c r="N87" s="101">
        <v>0.47569444444444442</v>
      </c>
      <c r="O87" s="29" t="s">
        <v>1332</v>
      </c>
      <c r="P87" s="29" t="s">
        <v>30</v>
      </c>
    </row>
    <row r="88" spans="1:16">
      <c r="A88" s="29">
        <f t="shared" si="1"/>
        <v>87</v>
      </c>
      <c r="B88" s="75">
        <v>46085</v>
      </c>
      <c r="C88" s="63" t="s">
        <v>1123</v>
      </c>
      <c r="D88" s="63" t="s">
        <v>39</v>
      </c>
      <c r="E88" s="101">
        <v>0.61736111111111114</v>
      </c>
      <c r="F88" s="64" t="str">
        <f>VLOOKUP(G88,'Vehicle List'!A:C,3,0)</f>
        <v>Rahul Roadlines</v>
      </c>
      <c r="G88" s="29" t="s">
        <v>608</v>
      </c>
      <c r="H88" s="29" t="s">
        <v>1043</v>
      </c>
      <c r="I88" s="29" t="s">
        <v>1044</v>
      </c>
      <c r="J88" s="64" t="str">
        <f>VLOOKUP(G88,'Vehicle List'!A:D,4,0)</f>
        <v>Ennore</v>
      </c>
      <c r="K88" s="64" t="s">
        <v>29</v>
      </c>
      <c r="L88" s="64" t="s">
        <v>19</v>
      </c>
      <c r="M88" s="64" t="s">
        <v>19</v>
      </c>
      <c r="N88" s="101">
        <v>0.62152777777777779</v>
      </c>
      <c r="O88" s="29" t="s">
        <v>1245</v>
      </c>
      <c r="P88" s="29" t="s">
        <v>30</v>
      </c>
    </row>
    <row r="89" spans="1:16">
      <c r="A89" s="29">
        <f t="shared" si="1"/>
        <v>88</v>
      </c>
      <c r="B89" s="75">
        <v>46085</v>
      </c>
      <c r="C89" s="63" t="s">
        <v>1123</v>
      </c>
      <c r="D89" s="63" t="s">
        <v>39</v>
      </c>
      <c r="E89" s="101">
        <v>0.61944444444444446</v>
      </c>
      <c r="F89" s="64" t="str">
        <f>VLOOKUP(G89,'Vehicle List'!A:C,3,0)</f>
        <v>Kongunadu Roadlines</v>
      </c>
      <c r="G89" s="29" t="s">
        <v>351</v>
      </c>
      <c r="H89" s="29" t="s">
        <v>1341</v>
      </c>
      <c r="I89" s="29" t="s">
        <v>1342</v>
      </c>
      <c r="J89" s="64" t="str">
        <f>VLOOKUP(G89,'Vehicle List'!A:D,4,0)</f>
        <v>KNCP</v>
      </c>
      <c r="K89" s="64" t="s">
        <v>26</v>
      </c>
      <c r="L89" s="64" t="s">
        <v>19</v>
      </c>
      <c r="M89" s="64" t="s">
        <v>20</v>
      </c>
      <c r="N89" s="101">
        <v>0.63055555555555554</v>
      </c>
      <c r="O89" s="29" t="s">
        <v>1286</v>
      </c>
      <c r="P89" s="29" t="s">
        <v>21</v>
      </c>
    </row>
    <row r="90" spans="1:16">
      <c r="A90" s="29">
        <f t="shared" si="1"/>
        <v>89</v>
      </c>
      <c r="B90" s="75">
        <v>46085</v>
      </c>
      <c r="C90" s="63" t="s">
        <v>1123</v>
      </c>
      <c r="D90" s="63" t="s">
        <v>39</v>
      </c>
      <c r="E90" s="101">
        <v>0.62916666666666665</v>
      </c>
      <c r="F90" s="64" t="str">
        <f>VLOOKUP(G90,'Vehicle List'!A:C,3,0)</f>
        <v>Velan Gogreen Logistics Pvt Ltd</v>
      </c>
      <c r="G90" s="29" t="s">
        <v>34</v>
      </c>
      <c r="H90" s="29" t="s">
        <v>1257</v>
      </c>
      <c r="I90" s="29" t="s">
        <v>1256</v>
      </c>
      <c r="J90" s="64" t="str">
        <f>VLOOKUP(G90,'Vehicle List'!A:D,4,0)</f>
        <v>KNCP</v>
      </c>
      <c r="K90" s="64" t="s">
        <v>29</v>
      </c>
      <c r="L90" s="64" t="s">
        <v>19</v>
      </c>
      <c r="M90" s="64" t="s">
        <v>19</v>
      </c>
      <c r="N90" s="101">
        <v>0.63124999999999998</v>
      </c>
      <c r="O90" s="67" t="s">
        <v>1356</v>
      </c>
      <c r="P90" s="29" t="s">
        <v>30</v>
      </c>
    </row>
    <row r="91" spans="1:16">
      <c r="A91" s="29">
        <f t="shared" si="1"/>
        <v>90</v>
      </c>
      <c r="B91" s="75">
        <v>46085</v>
      </c>
      <c r="C91" s="63" t="s">
        <v>1123</v>
      </c>
      <c r="D91" s="63" t="s">
        <v>39</v>
      </c>
      <c r="E91" s="101">
        <v>0.63749999999999996</v>
      </c>
      <c r="F91" s="64" t="str">
        <f>VLOOKUP(G91,'Vehicle List'!A:C,3,0)</f>
        <v>Chaudhary Transport</v>
      </c>
      <c r="G91" s="29" t="s">
        <v>572</v>
      </c>
      <c r="H91" s="29" t="s">
        <v>1343</v>
      </c>
      <c r="I91" s="29" t="s">
        <v>1344</v>
      </c>
      <c r="J91" s="64" t="str">
        <f>VLOOKUP(G91,'Vehicle List'!A:D,4,0)</f>
        <v>KNCP</v>
      </c>
      <c r="K91" s="64" t="s">
        <v>26</v>
      </c>
      <c r="L91" s="64" t="s">
        <v>19</v>
      </c>
      <c r="M91" s="64" t="s">
        <v>20</v>
      </c>
      <c r="N91" s="101">
        <v>0.65138888888888891</v>
      </c>
      <c r="O91" s="29" t="s">
        <v>1286</v>
      </c>
      <c r="P91" s="29" t="s">
        <v>21</v>
      </c>
    </row>
    <row r="92" spans="1:16">
      <c r="A92" s="29">
        <f t="shared" si="1"/>
        <v>91</v>
      </c>
      <c r="B92" s="75">
        <v>46085</v>
      </c>
      <c r="C92" s="63" t="s">
        <v>1123</v>
      </c>
      <c r="D92" s="63" t="s">
        <v>39</v>
      </c>
      <c r="E92" s="101">
        <v>0.65694444444444444</v>
      </c>
      <c r="F92" s="64" t="str">
        <f>VLOOKUP(G92,'Vehicle List'!A:C,3,0)</f>
        <v>Rahul Roadlines</v>
      </c>
      <c r="G92" s="29" t="s">
        <v>350</v>
      </c>
      <c r="H92" s="29" t="s">
        <v>1348</v>
      </c>
      <c r="I92" s="29" t="s">
        <v>1347</v>
      </c>
      <c r="J92" s="64" t="str">
        <f>VLOOKUP(G92,'Vehicle List'!A:D,4,0)</f>
        <v>BJJ</v>
      </c>
      <c r="K92" s="64" t="s">
        <v>29</v>
      </c>
      <c r="L92" s="64" t="s">
        <v>19</v>
      </c>
      <c r="M92" s="64" t="s">
        <v>19</v>
      </c>
      <c r="N92" s="101">
        <v>0.65972222222222221</v>
      </c>
      <c r="O92" s="29" t="s">
        <v>1315</v>
      </c>
      <c r="P92" s="29" t="s">
        <v>30</v>
      </c>
    </row>
    <row r="93" spans="1:16">
      <c r="A93" s="29">
        <f t="shared" si="1"/>
        <v>92</v>
      </c>
      <c r="B93" s="75">
        <v>46085</v>
      </c>
      <c r="C93" s="63" t="s">
        <v>1123</v>
      </c>
      <c r="D93" s="63" t="s">
        <v>39</v>
      </c>
      <c r="E93" s="101">
        <v>0.72361111111111109</v>
      </c>
      <c r="F93" s="64" t="str">
        <f>VLOOKUP(G93,'Vehicle List'!A:C,3,0)</f>
        <v>Oraya Gas India Pvt.Ltd.</v>
      </c>
      <c r="G93" s="29" t="s">
        <v>1038</v>
      </c>
      <c r="H93" s="29" t="s">
        <v>1350</v>
      </c>
      <c r="I93" s="29" t="s">
        <v>1349</v>
      </c>
      <c r="J93" s="64" t="str">
        <f>VLOOKUP(G93,'Vehicle List'!A:D,4,0)</f>
        <v>Ennore</v>
      </c>
      <c r="K93" s="64" t="s">
        <v>29</v>
      </c>
      <c r="L93" s="64" t="s">
        <v>19</v>
      </c>
      <c r="M93" s="64" t="s">
        <v>19</v>
      </c>
      <c r="N93" s="101">
        <v>0.72847222222222219</v>
      </c>
      <c r="O93" s="29" t="s">
        <v>1195</v>
      </c>
      <c r="P93" s="29" t="s">
        <v>21</v>
      </c>
    </row>
    <row r="94" spans="1:16">
      <c r="A94" s="29">
        <f t="shared" si="1"/>
        <v>93</v>
      </c>
      <c r="B94" s="75">
        <v>46085</v>
      </c>
      <c r="C94" s="63" t="s">
        <v>1123</v>
      </c>
      <c r="D94" s="63" t="s">
        <v>39</v>
      </c>
      <c r="E94" s="101">
        <v>0.73472222222222228</v>
      </c>
      <c r="F94" s="64" t="str">
        <f>VLOOKUP(G94,'Vehicle List'!A:C,3,0)</f>
        <v>Rahul Roadlines</v>
      </c>
      <c r="G94" s="29" t="s">
        <v>446</v>
      </c>
      <c r="H94" s="29" t="s">
        <v>1346</v>
      </c>
      <c r="I94" s="29" t="s">
        <v>1345</v>
      </c>
      <c r="J94" s="64" t="str">
        <f>VLOOKUP(G94,'Vehicle List'!A:D,4,0)</f>
        <v>ANK</v>
      </c>
      <c r="K94" s="64" t="s">
        <v>26</v>
      </c>
      <c r="L94" s="64" t="s">
        <v>19</v>
      </c>
      <c r="M94" s="64" t="s">
        <v>20</v>
      </c>
      <c r="N94" s="101">
        <v>0.74930555555555556</v>
      </c>
      <c r="O94" s="29" t="s">
        <v>1351</v>
      </c>
      <c r="P94" s="29" t="s">
        <v>21</v>
      </c>
    </row>
    <row r="95" spans="1:16">
      <c r="A95" s="29">
        <f t="shared" si="1"/>
        <v>94</v>
      </c>
      <c r="B95" s="75">
        <v>46085</v>
      </c>
      <c r="C95" s="63" t="s">
        <v>1123</v>
      </c>
      <c r="D95" s="63" t="s">
        <v>39</v>
      </c>
      <c r="E95" s="101">
        <v>0.80208333333333337</v>
      </c>
      <c r="F95" s="64" t="str">
        <f>VLOOKUP(G95,'Vehicle List'!A:C,3,0)</f>
        <v>Sritransways Logistics</v>
      </c>
      <c r="G95" s="29" t="s">
        <v>470</v>
      </c>
      <c r="H95" s="29" t="s">
        <v>1354</v>
      </c>
      <c r="I95" s="29" t="s">
        <v>1355</v>
      </c>
      <c r="J95" s="64" t="str">
        <f>VLOOKUP(G95,'Vehicle List'!A:D,4,0)</f>
        <v>AKT</v>
      </c>
      <c r="K95" s="64" t="s">
        <v>26</v>
      </c>
      <c r="L95" s="64" t="s">
        <v>19</v>
      </c>
      <c r="M95" s="64" t="s">
        <v>20</v>
      </c>
      <c r="N95" s="101">
        <v>0.82638888888888884</v>
      </c>
      <c r="O95" s="29" t="s">
        <v>1227</v>
      </c>
      <c r="P95" s="29" t="s">
        <v>21</v>
      </c>
    </row>
    <row r="96" spans="1:16">
      <c r="A96" s="29">
        <f t="shared" si="1"/>
        <v>95</v>
      </c>
      <c r="B96" s="75">
        <v>46085</v>
      </c>
      <c r="C96" s="63" t="s">
        <v>1123</v>
      </c>
      <c r="D96" s="63" t="s">
        <v>39</v>
      </c>
      <c r="E96" s="101">
        <v>0.85555555555555551</v>
      </c>
      <c r="F96" s="64" t="str">
        <f>VLOOKUP(G96,'Vehicle List'!A:C,3,0)</f>
        <v>Anisha Logistics</v>
      </c>
      <c r="G96" s="29" t="s">
        <v>51</v>
      </c>
      <c r="H96" s="29" t="s">
        <v>1353</v>
      </c>
      <c r="I96" s="29" t="s">
        <v>1352</v>
      </c>
      <c r="J96" s="64" t="str">
        <f>VLOOKUP(G96,'Vehicle List'!A:D,4,0)</f>
        <v>BJJ</v>
      </c>
      <c r="K96" s="64" t="s">
        <v>29</v>
      </c>
      <c r="L96" s="64" t="s">
        <v>19</v>
      </c>
      <c r="M96" s="64" t="s">
        <v>19</v>
      </c>
      <c r="N96" s="101">
        <v>0.86111111111111116</v>
      </c>
      <c r="O96" s="29" t="s">
        <v>1182</v>
      </c>
      <c r="P96" s="29" t="s">
        <v>30</v>
      </c>
    </row>
    <row r="97" spans="1:16">
      <c r="A97" s="29">
        <f t="shared" si="1"/>
        <v>96</v>
      </c>
      <c r="B97" s="75">
        <v>46085</v>
      </c>
      <c r="C97" s="63" t="s">
        <v>1268</v>
      </c>
      <c r="D97" s="63" t="s">
        <v>16</v>
      </c>
      <c r="E97" s="101">
        <v>0.93263888888888891</v>
      </c>
      <c r="F97" s="64" t="str">
        <f>VLOOKUP(G97,'Vehicle List'!A:C,3,0)</f>
        <v>Rahul Roadlines</v>
      </c>
      <c r="G97" s="29" t="s">
        <v>616</v>
      </c>
      <c r="H97" s="29" t="s">
        <v>1334</v>
      </c>
      <c r="I97" s="29" t="s">
        <v>1333</v>
      </c>
      <c r="J97" s="64" t="str">
        <f>VLOOKUP(G97,'Vehicle List'!A:D,4,0)</f>
        <v>Kochi</v>
      </c>
      <c r="K97" s="64" t="s">
        <v>29</v>
      </c>
      <c r="L97" s="64" t="s">
        <v>19</v>
      </c>
      <c r="M97" s="64" t="s">
        <v>19</v>
      </c>
      <c r="N97" s="101">
        <v>0.93263888888888891</v>
      </c>
      <c r="O97" s="29" t="s">
        <v>1260</v>
      </c>
      <c r="P97" s="29" t="s">
        <v>30</v>
      </c>
    </row>
    <row r="98" spans="1:16">
      <c r="A98" s="29">
        <f t="shared" si="1"/>
        <v>97</v>
      </c>
      <c r="B98" s="75">
        <v>46085</v>
      </c>
      <c r="C98" s="63" t="s">
        <v>1268</v>
      </c>
      <c r="D98" s="63" t="s">
        <v>16</v>
      </c>
      <c r="E98" s="101">
        <v>0.94097222222222221</v>
      </c>
      <c r="F98" s="64" t="str">
        <f>VLOOKUP(G98,'Vehicle List'!A:C,3,0)</f>
        <v>Kongunadu Roadlines</v>
      </c>
      <c r="G98" s="29" t="s">
        <v>36</v>
      </c>
      <c r="H98" s="29" t="s">
        <v>1369</v>
      </c>
      <c r="I98" s="29" t="s">
        <v>1370</v>
      </c>
      <c r="J98" s="64" t="str">
        <f>VLOOKUP(G98,'Vehicle List'!A:D,4,0)</f>
        <v>KNCP</v>
      </c>
      <c r="K98" s="64" t="s">
        <v>29</v>
      </c>
      <c r="L98" s="64" t="s">
        <v>19</v>
      </c>
      <c r="M98" s="64" t="s">
        <v>19</v>
      </c>
      <c r="N98" s="101">
        <v>0.94097222222222221</v>
      </c>
      <c r="O98" s="29" t="s">
        <v>1371</v>
      </c>
      <c r="P98" s="29" t="s">
        <v>30</v>
      </c>
    </row>
    <row r="99" spans="1:16">
      <c r="A99" s="29">
        <f t="shared" si="1"/>
        <v>98</v>
      </c>
      <c r="B99" s="75">
        <v>46085</v>
      </c>
      <c r="C99" s="63" t="s">
        <v>1268</v>
      </c>
      <c r="D99" s="63" t="s">
        <v>16</v>
      </c>
      <c r="E99" s="101">
        <v>0.9458333333333333</v>
      </c>
      <c r="F99" s="64" t="str">
        <f>VLOOKUP(G99,'Vehicle List'!A:C,3,0)</f>
        <v>Kongunadu Roadlines</v>
      </c>
      <c r="G99" s="29" t="s">
        <v>31</v>
      </c>
      <c r="H99" s="29" t="s">
        <v>1367</v>
      </c>
      <c r="I99" s="29" t="s">
        <v>1216</v>
      </c>
      <c r="J99" s="64" t="str">
        <f>VLOOKUP(G99,'Vehicle List'!A:D,4,0)</f>
        <v>Kochi</v>
      </c>
      <c r="K99" s="64" t="s">
        <v>29</v>
      </c>
      <c r="L99" s="64" t="s">
        <v>19</v>
      </c>
      <c r="M99" s="64" t="s">
        <v>19</v>
      </c>
      <c r="N99" s="101">
        <v>0.9458333333333333</v>
      </c>
      <c r="O99" s="29" t="s">
        <v>1368</v>
      </c>
      <c r="P99" s="29" t="s">
        <v>30</v>
      </c>
    </row>
    <row r="100" spans="1:16">
      <c r="A100" s="29">
        <f t="shared" si="1"/>
        <v>99</v>
      </c>
      <c r="B100" s="75">
        <v>46085</v>
      </c>
      <c r="C100" s="63" t="s">
        <v>1268</v>
      </c>
      <c r="D100" s="63" t="s">
        <v>16</v>
      </c>
      <c r="E100" s="101">
        <v>0.95347222222222228</v>
      </c>
      <c r="F100" s="64" t="str">
        <f>VLOOKUP(G100,'Vehicle List'!A:C,3,0)</f>
        <v>Chaudhary Transport</v>
      </c>
      <c r="G100" s="29" t="s">
        <v>575</v>
      </c>
      <c r="H100" s="29" t="s">
        <v>1365</v>
      </c>
      <c r="I100" s="29" t="s">
        <v>1366</v>
      </c>
      <c r="J100" s="64" t="str">
        <f>VLOOKUP(G100,'Vehicle List'!A:D,4,0)</f>
        <v>KNCP</v>
      </c>
      <c r="K100" s="64" t="s">
        <v>29</v>
      </c>
      <c r="L100" s="64" t="s">
        <v>19</v>
      </c>
      <c r="M100" s="64" t="s">
        <v>19</v>
      </c>
      <c r="N100" s="101">
        <v>0.95347222222222228</v>
      </c>
      <c r="O100" s="29" t="s">
        <v>1182</v>
      </c>
      <c r="P100" s="29" t="s">
        <v>30</v>
      </c>
    </row>
    <row r="101" spans="1:16">
      <c r="A101" s="29">
        <f t="shared" si="1"/>
        <v>100</v>
      </c>
      <c r="B101" s="75">
        <v>46085</v>
      </c>
      <c r="C101" s="63" t="s">
        <v>1268</v>
      </c>
      <c r="D101" s="63" t="s">
        <v>16</v>
      </c>
      <c r="E101" s="101">
        <v>0.95694444444444449</v>
      </c>
      <c r="F101" s="64" t="str">
        <f>VLOOKUP(G101,'Vehicle List'!A:C,3,0)</f>
        <v>Expo Trans India Limited</v>
      </c>
      <c r="G101" s="29" t="s">
        <v>287</v>
      </c>
      <c r="H101" s="29" t="s">
        <v>1187</v>
      </c>
      <c r="I101" s="29" t="s">
        <v>1188</v>
      </c>
      <c r="J101" s="64" t="str">
        <f>VLOOKUP(G101,'Vehicle List'!A:D,4,0)</f>
        <v>Kolar</v>
      </c>
      <c r="K101" s="64" t="s">
        <v>29</v>
      </c>
      <c r="L101" s="64" t="s">
        <v>19</v>
      </c>
      <c r="M101" s="64" t="s">
        <v>19</v>
      </c>
      <c r="N101" s="101">
        <v>0.95694444444444449</v>
      </c>
      <c r="O101" s="29" t="s">
        <v>1364</v>
      </c>
      <c r="P101" s="29" t="s">
        <v>30</v>
      </c>
    </row>
    <row r="102" spans="1:16">
      <c r="A102" s="29">
        <f t="shared" si="1"/>
        <v>101</v>
      </c>
      <c r="B102" s="75">
        <v>46085</v>
      </c>
      <c r="C102" s="63" t="s">
        <v>1268</v>
      </c>
      <c r="D102" s="63" t="s">
        <v>16</v>
      </c>
      <c r="E102" s="101">
        <v>0.96805555555555556</v>
      </c>
      <c r="F102" s="64" t="str">
        <f>VLOOKUP(G102,'Vehicle List'!A:C,3,0)</f>
        <v>Kongunadu Roadlines</v>
      </c>
      <c r="G102" s="29" t="s">
        <v>406</v>
      </c>
      <c r="H102" s="29" t="s">
        <v>1362</v>
      </c>
      <c r="I102" s="29" t="s">
        <v>1363</v>
      </c>
      <c r="J102" s="64" t="str">
        <f>VLOOKUP(G102,'Vehicle List'!A:D,4,0)</f>
        <v>Vellore</v>
      </c>
      <c r="K102" s="64" t="s">
        <v>29</v>
      </c>
      <c r="L102" s="64" t="s">
        <v>19</v>
      </c>
      <c r="M102" s="64" t="s">
        <v>19</v>
      </c>
      <c r="N102" s="101">
        <v>0.96805555555555556</v>
      </c>
      <c r="O102" s="29" t="s">
        <v>1284</v>
      </c>
      <c r="P102" s="29" t="s">
        <v>21</v>
      </c>
    </row>
    <row r="103" spans="1:16">
      <c r="A103" s="29">
        <f t="shared" si="1"/>
        <v>102</v>
      </c>
      <c r="B103" s="75">
        <v>46085</v>
      </c>
      <c r="C103" s="63" t="s">
        <v>1268</v>
      </c>
      <c r="D103" s="63" t="s">
        <v>16</v>
      </c>
      <c r="E103" s="101">
        <v>0.96944444444444444</v>
      </c>
      <c r="F103" s="64" t="str">
        <f>VLOOKUP(G103,'Vehicle List'!A:C,3,0)</f>
        <v>Velan Gogreen Logistics Pvt Ltd</v>
      </c>
      <c r="G103" s="29" t="s">
        <v>441</v>
      </c>
      <c r="H103" s="29" t="s">
        <v>1360</v>
      </c>
      <c r="I103" s="29" t="s">
        <v>1361</v>
      </c>
      <c r="J103" s="64" t="str">
        <f>VLOOKUP(G103,'Vehicle List'!A:D,4,0)</f>
        <v>Nellore</v>
      </c>
      <c r="K103" s="64" t="s">
        <v>29</v>
      </c>
      <c r="L103" s="64" t="s">
        <v>19</v>
      </c>
      <c r="M103" s="64" t="s">
        <v>19</v>
      </c>
      <c r="N103" s="101">
        <v>0.96944444444444444</v>
      </c>
      <c r="O103" s="29" t="s">
        <v>1271</v>
      </c>
      <c r="P103" s="29" t="s">
        <v>21</v>
      </c>
    </row>
    <row r="104" spans="1:16">
      <c r="A104" s="29">
        <f t="shared" si="1"/>
        <v>103</v>
      </c>
      <c r="B104" s="75">
        <v>46085</v>
      </c>
      <c r="C104" s="63" t="s">
        <v>1268</v>
      </c>
      <c r="D104" s="63" t="s">
        <v>16</v>
      </c>
      <c r="E104" s="101">
        <v>0.9770833333333333</v>
      </c>
      <c r="F104" s="64" t="str">
        <f>VLOOKUP(G104,'Vehicle List'!A:C,3,0)</f>
        <v>Kongunadu Roadlines</v>
      </c>
      <c r="G104" s="29" t="s">
        <v>505</v>
      </c>
      <c r="H104" s="29" t="s">
        <v>1358</v>
      </c>
      <c r="I104" s="29" t="s">
        <v>1359</v>
      </c>
      <c r="J104" s="64" t="str">
        <f>VLOOKUP(G104,'Vehicle List'!A:D,4,0)</f>
        <v>KNCP</v>
      </c>
      <c r="K104" s="64" t="s">
        <v>29</v>
      </c>
      <c r="L104" s="64" t="s">
        <v>19</v>
      </c>
      <c r="M104" s="64" t="s">
        <v>19</v>
      </c>
      <c r="N104" s="101">
        <v>0.9770833333333333</v>
      </c>
      <c r="O104" s="29" t="s">
        <v>1182</v>
      </c>
      <c r="P104" s="29" t="s">
        <v>30</v>
      </c>
    </row>
    <row r="105" spans="1:16">
      <c r="A105" s="29">
        <f t="shared" si="1"/>
        <v>104</v>
      </c>
      <c r="B105" s="75">
        <v>46086</v>
      </c>
      <c r="C105" s="63" t="s">
        <v>1268</v>
      </c>
      <c r="D105" s="63" t="s">
        <v>16</v>
      </c>
      <c r="E105" s="101">
        <v>1.7361111111111112E-2</v>
      </c>
      <c r="F105" s="64" t="str">
        <f>VLOOKUP(G105,'Vehicle List'!A:C,3,0)</f>
        <v>Rahul Roadlines</v>
      </c>
      <c r="G105" s="29" t="s">
        <v>70</v>
      </c>
      <c r="H105" s="29" t="s">
        <v>1290</v>
      </c>
      <c r="I105" s="29" t="s">
        <v>1289</v>
      </c>
      <c r="J105" s="64" t="str">
        <f>VLOOKUP(G105,'Vehicle List'!A:D,4,0)</f>
        <v>BJJ</v>
      </c>
      <c r="K105" s="64" t="s">
        <v>24</v>
      </c>
      <c r="L105" s="64" t="s">
        <v>19</v>
      </c>
      <c r="M105" s="64" t="s">
        <v>20</v>
      </c>
      <c r="N105" s="101">
        <v>0.10833333333333334</v>
      </c>
      <c r="O105" s="29" t="s">
        <v>1078</v>
      </c>
      <c r="P105" s="29" t="s">
        <v>21</v>
      </c>
    </row>
    <row r="106" spans="1:16">
      <c r="A106" s="29">
        <f t="shared" si="1"/>
        <v>105</v>
      </c>
      <c r="B106" s="75">
        <v>46086</v>
      </c>
      <c r="C106" s="63" t="s">
        <v>1268</v>
      </c>
      <c r="D106" s="63" t="s">
        <v>16</v>
      </c>
      <c r="E106" s="101">
        <v>0.14652777777777778</v>
      </c>
      <c r="F106" s="64" t="str">
        <f>VLOOKUP(G106,'Vehicle List'!A:C,3,0)</f>
        <v>Kongunadu Roadlines</v>
      </c>
      <c r="G106" s="29" t="s">
        <v>297</v>
      </c>
      <c r="H106" s="29" t="s">
        <v>1274</v>
      </c>
      <c r="I106" s="29" t="s">
        <v>1275</v>
      </c>
      <c r="J106" s="64" t="str">
        <f>VLOOKUP(G106,'Vehicle List'!A:D,4,0)</f>
        <v>AKT</v>
      </c>
      <c r="K106" s="64" t="s">
        <v>26</v>
      </c>
      <c r="L106" s="64" t="s">
        <v>19</v>
      </c>
      <c r="M106" s="64" t="s">
        <v>20</v>
      </c>
      <c r="N106" s="101">
        <v>0.16458333333333333</v>
      </c>
      <c r="O106" s="29" t="s">
        <v>1227</v>
      </c>
      <c r="P106" s="29" t="s">
        <v>21</v>
      </c>
    </row>
    <row r="107" spans="1:16">
      <c r="A107" s="29">
        <f t="shared" si="1"/>
        <v>106</v>
      </c>
      <c r="B107" s="75">
        <v>46086</v>
      </c>
      <c r="C107" s="63" t="s">
        <v>1268</v>
      </c>
      <c r="D107" s="63" t="s">
        <v>16</v>
      </c>
      <c r="E107" s="101">
        <v>0.22638888888888889</v>
      </c>
      <c r="F107" s="64" t="str">
        <f>VLOOKUP(G107,'Vehicle List'!A:C,3,0)</f>
        <v>Chaudhary Transport</v>
      </c>
      <c r="G107" s="29" t="s">
        <v>575</v>
      </c>
      <c r="H107" s="29" t="s">
        <v>1365</v>
      </c>
      <c r="I107" s="29" t="s">
        <v>1366</v>
      </c>
      <c r="J107" s="64" t="str">
        <f>VLOOKUP(G107,'Vehicle List'!A:D,4,0)</f>
        <v>KNCP</v>
      </c>
      <c r="K107" s="64" t="s">
        <v>29</v>
      </c>
      <c r="L107" s="64" t="s">
        <v>19</v>
      </c>
      <c r="M107" s="64" t="s">
        <v>19</v>
      </c>
      <c r="N107" s="101">
        <v>0.22638888888888889</v>
      </c>
      <c r="O107" s="29" t="s">
        <v>1271</v>
      </c>
      <c r="P107" s="29" t="s">
        <v>30</v>
      </c>
    </row>
    <row r="108" spans="1:16">
      <c r="A108" s="29">
        <f t="shared" si="1"/>
        <v>107</v>
      </c>
      <c r="B108" s="75">
        <v>46086</v>
      </c>
      <c r="C108" s="63" t="s">
        <v>1123</v>
      </c>
      <c r="D108" s="63" t="s">
        <v>28</v>
      </c>
      <c r="E108" s="101">
        <v>0.24652777777777779</v>
      </c>
      <c r="F108" s="64" t="str">
        <f>VLOOKUP(G108,'Vehicle List'!A:C,3,0)</f>
        <v>Oraya Gas India Pvt.Ltd.</v>
      </c>
      <c r="G108" s="29" t="s">
        <v>94</v>
      </c>
      <c r="H108" s="29" t="s">
        <v>1374</v>
      </c>
      <c r="I108" s="29" t="s">
        <v>1373</v>
      </c>
      <c r="J108" s="64" t="str">
        <f>VLOOKUP(G108,'Vehicle List'!A:D,4,0)</f>
        <v>Ennore</v>
      </c>
      <c r="K108" s="64" t="s">
        <v>1174</v>
      </c>
      <c r="L108" s="64" t="s">
        <v>19</v>
      </c>
      <c r="M108" s="64" t="s">
        <v>20</v>
      </c>
      <c r="N108" s="101">
        <v>0.26597222222222222</v>
      </c>
      <c r="O108" s="29" t="s">
        <v>1085</v>
      </c>
      <c r="P108" s="29" t="s">
        <v>21</v>
      </c>
    </row>
    <row r="109" spans="1:16">
      <c r="A109" s="29">
        <f t="shared" si="1"/>
        <v>108</v>
      </c>
      <c r="B109" s="75">
        <v>46086</v>
      </c>
      <c r="C109" s="63" t="s">
        <v>1123</v>
      </c>
      <c r="D109" s="63" t="s">
        <v>28</v>
      </c>
      <c r="E109" s="101">
        <v>0.25277777777777777</v>
      </c>
      <c r="F109" s="64" t="str">
        <f>VLOOKUP(G109,'Vehicle List'!A:C,3,0)</f>
        <v>Anmol Transport</v>
      </c>
      <c r="G109" s="29" t="s">
        <v>563</v>
      </c>
      <c r="H109" s="29" t="s">
        <v>1375</v>
      </c>
      <c r="I109" s="29" t="s">
        <v>1258</v>
      </c>
      <c r="J109" s="64" t="str">
        <f>VLOOKUP(G109,'Vehicle List'!A:D,4,0)</f>
        <v>Jalandhar</v>
      </c>
      <c r="K109" s="64" t="s">
        <v>18</v>
      </c>
      <c r="L109" s="64" t="s">
        <v>19</v>
      </c>
      <c r="M109" s="64" t="s">
        <v>20</v>
      </c>
      <c r="N109" s="101">
        <v>0.27083333333333331</v>
      </c>
      <c r="O109" s="29" t="s">
        <v>1204</v>
      </c>
      <c r="P109" s="29" t="s">
        <v>21</v>
      </c>
    </row>
    <row r="110" spans="1:16">
      <c r="A110" s="29">
        <f t="shared" si="1"/>
        <v>109</v>
      </c>
      <c r="B110" s="75">
        <v>46086</v>
      </c>
      <c r="C110" s="63" t="s">
        <v>1123</v>
      </c>
      <c r="D110" s="63" t="s">
        <v>28</v>
      </c>
      <c r="E110" s="101">
        <v>0.26666666666666666</v>
      </c>
      <c r="F110" s="64" t="str">
        <f>VLOOKUP(G110,'Vehicle List'!A:C,3,0)</f>
        <v>Kongunadu Roadlines</v>
      </c>
      <c r="G110" s="29" t="s">
        <v>605</v>
      </c>
      <c r="H110" s="29" t="s">
        <v>1377</v>
      </c>
      <c r="I110" s="29" t="s">
        <v>1376</v>
      </c>
      <c r="J110" s="64" t="str">
        <f>VLOOKUP(G110,'Vehicle List'!A:D,4,0)</f>
        <v>Ennore</v>
      </c>
      <c r="K110" s="64" t="s">
        <v>29</v>
      </c>
      <c r="L110" s="64" t="s">
        <v>19</v>
      </c>
      <c r="M110" s="64" t="s">
        <v>19</v>
      </c>
      <c r="N110" s="101">
        <v>0.27291666666666664</v>
      </c>
      <c r="O110" s="29" t="s">
        <v>1245</v>
      </c>
      <c r="P110" s="29" t="s">
        <v>30</v>
      </c>
    </row>
    <row r="111" spans="1:16">
      <c r="A111" s="29">
        <f t="shared" si="1"/>
        <v>110</v>
      </c>
      <c r="B111" s="75">
        <v>46086</v>
      </c>
      <c r="C111" s="63" t="s">
        <v>1123</v>
      </c>
      <c r="D111" s="63" t="s">
        <v>28</v>
      </c>
      <c r="E111" s="101">
        <v>0.26805555555555555</v>
      </c>
      <c r="F111" s="64" t="str">
        <f>VLOOKUP(G111,'Vehicle List'!A:C,3,0)</f>
        <v>Expo Trans India Limited</v>
      </c>
      <c r="G111" s="29" t="s">
        <v>287</v>
      </c>
      <c r="H111" s="29" t="s">
        <v>1187</v>
      </c>
      <c r="I111" s="29" t="s">
        <v>1188</v>
      </c>
      <c r="J111" s="64" t="str">
        <f>VLOOKUP(G111,'Vehicle List'!A:D,4,0)</f>
        <v>Kolar</v>
      </c>
      <c r="K111" s="64" t="s">
        <v>29</v>
      </c>
      <c r="L111" s="64" t="s">
        <v>19</v>
      </c>
      <c r="M111" s="64" t="s">
        <v>19</v>
      </c>
      <c r="N111" s="101">
        <v>0.27638888888888891</v>
      </c>
      <c r="O111" s="29" t="s">
        <v>1189</v>
      </c>
      <c r="P111" s="29" t="s">
        <v>30</v>
      </c>
    </row>
    <row r="112" spans="1:16">
      <c r="A112" s="29">
        <f t="shared" si="1"/>
        <v>111</v>
      </c>
      <c r="B112" s="75">
        <v>46086</v>
      </c>
      <c r="C112" s="63" t="s">
        <v>1123</v>
      </c>
      <c r="D112" s="63" t="s">
        <v>28</v>
      </c>
      <c r="E112" s="101">
        <v>0.27083333333333331</v>
      </c>
      <c r="F112" s="64" t="str">
        <f>VLOOKUP(G112,'Vehicle List'!A:C,3,0)</f>
        <v>Kongunadu Roadlines</v>
      </c>
      <c r="G112" s="29" t="s">
        <v>596</v>
      </c>
      <c r="H112" s="29" t="s">
        <v>1379</v>
      </c>
      <c r="I112" s="29" t="s">
        <v>1378</v>
      </c>
      <c r="J112" s="64" t="str">
        <f>VLOOKUP(G112,'Vehicle List'!A:D,4,0)</f>
        <v>Kochi</v>
      </c>
      <c r="K112" s="64" t="s">
        <v>29</v>
      </c>
      <c r="L112" s="64" t="s">
        <v>19</v>
      </c>
      <c r="M112" s="64" t="s">
        <v>19</v>
      </c>
      <c r="N112" s="101">
        <v>0.27916666666666667</v>
      </c>
      <c r="O112" s="29" t="s">
        <v>1387</v>
      </c>
      <c r="P112" s="29" t="s">
        <v>21</v>
      </c>
    </row>
    <row r="113" spans="1:16">
      <c r="A113" s="29">
        <f t="shared" si="1"/>
        <v>112</v>
      </c>
      <c r="B113" s="75">
        <v>46086</v>
      </c>
      <c r="C113" s="63" t="s">
        <v>1123</v>
      </c>
      <c r="D113" s="63" t="s">
        <v>28</v>
      </c>
      <c r="E113" s="101">
        <v>0.26666666666666666</v>
      </c>
      <c r="F113" s="64" t="str">
        <f>VLOOKUP(G113,'Vehicle List'!A:C,3,0)</f>
        <v>Expo Trans India Limited</v>
      </c>
      <c r="G113" s="29" t="s">
        <v>287</v>
      </c>
      <c r="H113" s="29" t="s">
        <v>1187</v>
      </c>
      <c r="I113" s="29" t="s">
        <v>1188</v>
      </c>
      <c r="J113" s="64" t="str">
        <f>VLOOKUP(G113,'Vehicle List'!A:D,4,0)</f>
        <v>Kolar</v>
      </c>
      <c r="K113" s="64" t="s">
        <v>26</v>
      </c>
      <c r="L113" s="64" t="s">
        <v>19</v>
      </c>
      <c r="M113" s="64" t="s">
        <v>20</v>
      </c>
      <c r="N113" s="101">
        <v>0.28819444444444442</v>
      </c>
      <c r="O113" s="29" t="s">
        <v>1295</v>
      </c>
      <c r="P113" s="29" t="s">
        <v>21</v>
      </c>
    </row>
    <row r="114" spans="1:16">
      <c r="A114" s="29">
        <f t="shared" si="1"/>
        <v>113</v>
      </c>
      <c r="B114" s="75">
        <v>46086</v>
      </c>
      <c r="C114" s="63" t="s">
        <v>1123</v>
      </c>
      <c r="D114" s="63" t="s">
        <v>28</v>
      </c>
      <c r="E114" s="101">
        <v>0.26944444444444443</v>
      </c>
      <c r="F114" s="64" t="str">
        <f>VLOOKUP(G114,'Vehicle List'!A:C,3,0)</f>
        <v>Dhinesh Transports</v>
      </c>
      <c r="G114" s="29" t="s">
        <v>377</v>
      </c>
      <c r="H114" s="29" t="s">
        <v>1381</v>
      </c>
      <c r="I114" s="29" t="s">
        <v>1380</v>
      </c>
      <c r="J114" s="64" t="str">
        <f>VLOOKUP(G114,'Vehicle List'!A:D,4,0)</f>
        <v>CHK</v>
      </c>
      <c r="K114" s="64" t="s">
        <v>18</v>
      </c>
      <c r="L114" s="64" t="s">
        <v>19</v>
      </c>
      <c r="M114" s="64" t="s">
        <v>20</v>
      </c>
      <c r="N114" s="101">
        <v>0.2951388888888889</v>
      </c>
      <c r="O114" s="29" t="s">
        <v>1386</v>
      </c>
      <c r="P114" s="29" t="s">
        <v>21</v>
      </c>
    </row>
    <row r="115" spans="1:16">
      <c r="A115" s="29">
        <f t="shared" si="1"/>
        <v>114</v>
      </c>
      <c r="B115" s="75">
        <v>46086</v>
      </c>
      <c r="C115" s="63" t="s">
        <v>1123</v>
      </c>
      <c r="D115" s="63" t="s">
        <v>28</v>
      </c>
      <c r="E115" s="101">
        <v>0.35416666666666669</v>
      </c>
      <c r="F115" s="64" t="str">
        <f>VLOOKUP(G115,'Vehicle List'!A:C,3,0)</f>
        <v>Rahul Roadlines</v>
      </c>
      <c r="G115" s="29" t="s">
        <v>336</v>
      </c>
      <c r="H115" s="29" t="s">
        <v>1383</v>
      </c>
      <c r="I115" s="29" t="s">
        <v>1382</v>
      </c>
      <c r="J115" s="64" t="str">
        <f>VLOOKUP(G115,'Vehicle List'!A:D,4,0)</f>
        <v>BJJ</v>
      </c>
      <c r="K115" s="64" t="s">
        <v>29</v>
      </c>
      <c r="L115" s="64" t="s">
        <v>19</v>
      </c>
      <c r="M115" s="64" t="s">
        <v>19</v>
      </c>
      <c r="N115" s="101">
        <v>0.35972222222222222</v>
      </c>
      <c r="O115" s="29" t="s">
        <v>1315</v>
      </c>
      <c r="P115" s="29" t="s">
        <v>30</v>
      </c>
    </row>
    <row r="116" spans="1:16">
      <c r="A116" s="29">
        <f t="shared" si="1"/>
        <v>115</v>
      </c>
      <c r="B116" s="75">
        <v>46086</v>
      </c>
      <c r="C116" s="63" t="s">
        <v>1123</v>
      </c>
      <c r="D116" s="63" t="s">
        <v>28</v>
      </c>
      <c r="E116" s="101">
        <v>0.43611111111111112</v>
      </c>
      <c r="F116" s="64" t="str">
        <f>VLOOKUP(G116,'Vehicle List'!A:C,3,0)</f>
        <v>Kongunadu Roadlines</v>
      </c>
      <c r="G116" s="29" t="s">
        <v>31</v>
      </c>
      <c r="H116" s="29" t="s">
        <v>1385</v>
      </c>
      <c r="I116" s="29" t="s">
        <v>1384</v>
      </c>
      <c r="J116" s="64" t="str">
        <f>VLOOKUP(G116,'Vehicle List'!A:D,4,0)</f>
        <v>Kochi</v>
      </c>
      <c r="K116" s="64" t="s">
        <v>29</v>
      </c>
      <c r="L116" s="64" t="s">
        <v>19</v>
      </c>
      <c r="M116" s="64" t="s">
        <v>19</v>
      </c>
      <c r="N116" s="101">
        <v>0.43888888888888888</v>
      </c>
      <c r="O116" s="29" t="s">
        <v>1195</v>
      </c>
      <c r="P116" s="29" t="s">
        <v>21</v>
      </c>
    </row>
    <row r="117" spans="1:16">
      <c r="A117" s="29">
        <f t="shared" si="1"/>
        <v>116</v>
      </c>
      <c r="B117" s="75">
        <v>46086</v>
      </c>
      <c r="C117" s="63" t="s">
        <v>1123</v>
      </c>
      <c r="D117" s="63" t="s">
        <v>28</v>
      </c>
      <c r="E117" s="101">
        <v>0.43819444444444444</v>
      </c>
      <c r="F117" s="64" t="str">
        <f>VLOOKUP(G117,'Vehicle List'!A:C,3,0)</f>
        <v>Oraya Gas India Pvt.Ltd.</v>
      </c>
      <c r="G117" s="29" t="s">
        <v>45</v>
      </c>
      <c r="H117" s="29" t="s">
        <v>1276</v>
      </c>
      <c r="I117" s="29" t="s">
        <v>1277</v>
      </c>
      <c r="J117" s="64" t="str">
        <f>VLOOKUP(G117,'Vehicle List'!A:D,4,0)</f>
        <v>Kochi</v>
      </c>
      <c r="K117" s="64" t="s">
        <v>29</v>
      </c>
      <c r="L117" s="64" t="s">
        <v>19</v>
      </c>
      <c r="M117" s="64" t="s">
        <v>19</v>
      </c>
      <c r="N117" s="101">
        <v>0.44513888888888886</v>
      </c>
      <c r="O117" s="29" t="s">
        <v>1388</v>
      </c>
      <c r="P117" s="29" t="s">
        <v>21</v>
      </c>
    </row>
    <row r="118" spans="1:16">
      <c r="A118" s="29">
        <f t="shared" si="1"/>
        <v>117</v>
      </c>
      <c r="B118" s="75">
        <v>46086</v>
      </c>
      <c r="C118" s="63" t="s">
        <v>1123</v>
      </c>
      <c r="D118" s="63" t="s">
        <v>28</v>
      </c>
      <c r="E118" s="101">
        <v>0.4777777777777778</v>
      </c>
      <c r="F118" s="64" t="str">
        <f>VLOOKUP(G118,'Vehicle List'!A:C,3,0)</f>
        <v>Kongunadu Roadlines</v>
      </c>
      <c r="G118" s="29" t="s">
        <v>363</v>
      </c>
      <c r="H118" s="29" t="s">
        <v>1390</v>
      </c>
      <c r="I118" s="29" t="s">
        <v>1389</v>
      </c>
      <c r="J118" s="64" t="str">
        <f>VLOOKUP(G118,'Vehicle List'!A:D,4,0)</f>
        <v>Vellore</v>
      </c>
      <c r="K118" s="64" t="s">
        <v>29</v>
      </c>
      <c r="L118" s="64" t="s">
        <v>19</v>
      </c>
      <c r="M118" s="64" t="s">
        <v>19</v>
      </c>
      <c r="N118" s="101">
        <v>0.48541666666666666</v>
      </c>
      <c r="O118" s="29" t="s">
        <v>1260</v>
      </c>
      <c r="P118" s="29" t="s">
        <v>30</v>
      </c>
    </row>
    <row r="119" spans="1:16">
      <c r="A119" s="29">
        <f t="shared" si="1"/>
        <v>118</v>
      </c>
      <c r="B119" s="75">
        <v>46086</v>
      </c>
      <c r="C119" s="63" t="s">
        <v>1123</v>
      </c>
      <c r="D119" s="63" t="s">
        <v>28</v>
      </c>
      <c r="E119" s="101">
        <v>0.53819444444444442</v>
      </c>
      <c r="F119" s="64" t="str">
        <f>VLOOKUP(G119,'Vehicle List'!A:C,3,0)</f>
        <v>Expo Trans India Limited</v>
      </c>
      <c r="G119" s="29" t="s">
        <v>342</v>
      </c>
      <c r="H119" s="29" t="s">
        <v>1395</v>
      </c>
      <c r="I119" s="29" t="s">
        <v>1396</v>
      </c>
      <c r="J119" s="64" t="str">
        <f>VLOOKUP(G119,'Vehicle List'!A:D,4,0)</f>
        <v>Nellore</v>
      </c>
      <c r="K119" s="64" t="s">
        <v>1174</v>
      </c>
      <c r="L119" s="64" t="s">
        <v>19</v>
      </c>
      <c r="M119" s="64" t="s">
        <v>20</v>
      </c>
      <c r="N119" s="101">
        <v>0.64236111111111116</v>
      </c>
      <c r="O119" s="29" t="s">
        <v>1391</v>
      </c>
      <c r="P119" s="29" t="s">
        <v>21</v>
      </c>
    </row>
    <row r="120" spans="1:16">
      <c r="A120" s="29">
        <f t="shared" si="1"/>
        <v>119</v>
      </c>
      <c r="B120" s="75">
        <v>46086</v>
      </c>
      <c r="C120" s="63" t="s">
        <v>1268</v>
      </c>
      <c r="D120" s="63" t="s">
        <v>39</v>
      </c>
      <c r="E120" s="101">
        <v>0.59861111111111109</v>
      </c>
      <c r="F120" s="64" t="str">
        <f>VLOOKUP(G120,'Vehicle List'!A:C,3,0)</f>
        <v>Anisha Logistics</v>
      </c>
      <c r="G120" s="29" t="s">
        <v>481</v>
      </c>
      <c r="H120" s="29" t="s">
        <v>1420</v>
      </c>
      <c r="I120" s="29" t="s">
        <v>1421</v>
      </c>
      <c r="J120" s="64" t="str">
        <f>VLOOKUP(G120,'Vehicle List'!A:D,4,0)</f>
        <v>Bhopal</v>
      </c>
      <c r="K120" s="64" t="s">
        <v>29</v>
      </c>
      <c r="L120" s="64" t="s">
        <v>19</v>
      </c>
      <c r="M120" s="64" t="s">
        <v>19</v>
      </c>
      <c r="N120" s="101">
        <v>0.59861111111111109</v>
      </c>
      <c r="O120" s="29" t="s">
        <v>1315</v>
      </c>
      <c r="P120" s="29" t="s">
        <v>30</v>
      </c>
    </row>
    <row r="121" spans="1:16">
      <c r="A121" s="29">
        <f t="shared" si="1"/>
        <v>120</v>
      </c>
      <c r="B121" s="75">
        <v>46086</v>
      </c>
      <c r="C121" s="63" t="s">
        <v>1268</v>
      </c>
      <c r="D121" s="63" t="s">
        <v>39</v>
      </c>
      <c r="E121" s="101">
        <v>0.60069444444444442</v>
      </c>
      <c r="F121" s="64" t="str">
        <f>VLOOKUP(G121,'Vehicle List'!A:C,3,0)</f>
        <v>Expo Trans India Limited</v>
      </c>
      <c r="G121" s="29" t="s">
        <v>1128</v>
      </c>
      <c r="H121" s="29" t="s">
        <v>1418</v>
      </c>
      <c r="I121" s="29" t="s">
        <v>1419</v>
      </c>
      <c r="J121" s="64" t="str">
        <f>VLOOKUP(G121,'Vehicle List'!A:D,4,0)</f>
        <v>Kochi</v>
      </c>
      <c r="K121" s="64" t="s">
        <v>29</v>
      </c>
      <c r="L121" s="64" t="s">
        <v>19</v>
      </c>
      <c r="M121" s="64" t="s">
        <v>19</v>
      </c>
      <c r="N121" s="101">
        <v>0.60069444444444442</v>
      </c>
      <c r="O121" s="29" t="s">
        <v>1315</v>
      </c>
      <c r="P121" s="29" t="s">
        <v>30</v>
      </c>
    </row>
    <row r="122" spans="1:16">
      <c r="A122" s="29">
        <f t="shared" si="1"/>
        <v>121</v>
      </c>
      <c r="B122" s="75">
        <v>46086</v>
      </c>
      <c r="C122" s="63" t="s">
        <v>1268</v>
      </c>
      <c r="D122" s="63" t="s">
        <v>39</v>
      </c>
      <c r="E122" s="101">
        <v>0.60347222222222219</v>
      </c>
      <c r="F122" s="64" t="str">
        <f>VLOOKUP(G122,'Vehicle List'!A:C,3,0)</f>
        <v>Expo Trans India Limited</v>
      </c>
      <c r="G122" s="29" t="s">
        <v>280</v>
      </c>
      <c r="H122" s="29" t="s">
        <v>1416</v>
      </c>
      <c r="I122" s="29" t="s">
        <v>1417</v>
      </c>
      <c r="J122" s="64" t="str">
        <f>VLOOKUP(G122,'Vehicle List'!A:D,4,0)</f>
        <v>BJJ</v>
      </c>
      <c r="K122" s="64" t="s">
        <v>29</v>
      </c>
      <c r="L122" s="64" t="s">
        <v>19</v>
      </c>
      <c r="M122" s="64" t="s">
        <v>19</v>
      </c>
      <c r="N122" s="101">
        <v>0.60347222222222219</v>
      </c>
      <c r="O122" s="29" t="s">
        <v>1225</v>
      </c>
      <c r="P122" s="29" t="s">
        <v>30</v>
      </c>
    </row>
    <row r="123" spans="1:16">
      <c r="A123" s="29">
        <f t="shared" si="1"/>
        <v>122</v>
      </c>
      <c r="B123" s="75">
        <v>46086</v>
      </c>
      <c r="C123" s="63" t="s">
        <v>1268</v>
      </c>
      <c r="D123" s="63" t="s">
        <v>39</v>
      </c>
      <c r="E123" s="101">
        <v>0.61319444444444449</v>
      </c>
      <c r="F123" s="64" t="str">
        <f>VLOOKUP(G123,'Vehicle List'!A:C,3,0)</f>
        <v>Kongunadu Roadlines</v>
      </c>
      <c r="G123" s="29" t="s">
        <v>625</v>
      </c>
      <c r="H123" s="29" t="s">
        <v>1414</v>
      </c>
      <c r="I123" s="29" t="s">
        <v>1415</v>
      </c>
      <c r="J123" s="64" t="str">
        <f>VLOOKUP(G123,'Vehicle List'!A:D,4,0)</f>
        <v>Dahej</v>
      </c>
      <c r="K123" s="64" t="s">
        <v>29</v>
      </c>
      <c r="L123" s="64" t="s">
        <v>19</v>
      </c>
      <c r="M123" s="64" t="s">
        <v>19</v>
      </c>
      <c r="N123" s="101">
        <v>0.61319444444444449</v>
      </c>
      <c r="O123" s="29" t="s">
        <v>1315</v>
      </c>
      <c r="P123" s="29" t="s">
        <v>30</v>
      </c>
    </row>
    <row r="124" spans="1:16">
      <c r="A124" s="29">
        <f t="shared" si="1"/>
        <v>123</v>
      </c>
      <c r="B124" s="75">
        <v>46086</v>
      </c>
      <c r="C124" s="63" t="s">
        <v>1268</v>
      </c>
      <c r="D124" s="63" t="s">
        <v>39</v>
      </c>
      <c r="E124" s="101">
        <v>0.61388888888888893</v>
      </c>
      <c r="F124" s="64" t="str">
        <f>VLOOKUP(G124,'Vehicle List'!A:C,3,0)</f>
        <v>Oraya Gas India Pvt.Ltd.</v>
      </c>
      <c r="G124" s="29" t="s">
        <v>628</v>
      </c>
      <c r="H124" s="29" t="s">
        <v>1412</v>
      </c>
      <c r="I124" s="29" t="s">
        <v>1413</v>
      </c>
      <c r="J124" s="64" t="str">
        <f>VLOOKUP(G124,'Vehicle List'!A:D,4,0)</f>
        <v>Dahej</v>
      </c>
      <c r="K124" s="64" t="s">
        <v>29</v>
      </c>
      <c r="L124" s="64" t="s">
        <v>19</v>
      </c>
      <c r="M124" s="64" t="s">
        <v>19</v>
      </c>
      <c r="N124" s="101">
        <v>0.61388888888888893</v>
      </c>
      <c r="O124" s="29" t="s">
        <v>1315</v>
      </c>
      <c r="P124" s="29" t="s">
        <v>30</v>
      </c>
    </row>
    <row r="125" spans="1:16">
      <c r="A125" s="29">
        <f t="shared" si="1"/>
        <v>124</v>
      </c>
      <c r="B125" s="75">
        <v>46086</v>
      </c>
      <c r="C125" s="63" t="s">
        <v>1268</v>
      </c>
      <c r="D125" s="63" t="s">
        <v>39</v>
      </c>
      <c r="E125" s="101">
        <v>0.60347222222222219</v>
      </c>
      <c r="F125" s="64" t="str">
        <f>VLOOKUP(G125,'Vehicle List'!A:C,3,0)</f>
        <v>Chaudhary Transport</v>
      </c>
      <c r="G125" s="29" t="s">
        <v>575</v>
      </c>
      <c r="H125" s="29" t="s">
        <v>1410</v>
      </c>
      <c r="I125" s="29" t="s">
        <v>1411</v>
      </c>
      <c r="J125" s="64" t="str">
        <f>VLOOKUP(G125,'Vehicle List'!A:D,4,0)</f>
        <v>KNCP</v>
      </c>
      <c r="K125" s="64" t="s">
        <v>26</v>
      </c>
      <c r="L125" s="64" t="s">
        <v>19</v>
      </c>
      <c r="M125" s="64" t="s">
        <v>20</v>
      </c>
      <c r="N125" s="101">
        <v>0.63680555555555551</v>
      </c>
      <c r="O125" s="29" t="s">
        <v>1286</v>
      </c>
      <c r="P125" s="29" t="s">
        <v>21</v>
      </c>
    </row>
    <row r="126" spans="1:16">
      <c r="A126" s="29">
        <f t="shared" si="1"/>
        <v>125</v>
      </c>
      <c r="B126" s="75">
        <v>46086</v>
      </c>
      <c r="C126" s="63" t="s">
        <v>1268</v>
      </c>
      <c r="D126" s="63" t="s">
        <v>39</v>
      </c>
      <c r="E126" s="101">
        <v>0.66180555555555554</v>
      </c>
      <c r="F126" s="64" t="str">
        <f>VLOOKUP(G126,'Vehicle List'!A:C,3,0)</f>
        <v>Dhinesh Transports</v>
      </c>
      <c r="G126" s="29" t="s">
        <v>371</v>
      </c>
      <c r="H126" s="29" t="s">
        <v>1408</v>
      </c>
      <c r="I126" s="29" t="s">
        <v>1409</v>
      </c>
      <c r="J126" s="64" t="str">
        <f>VLOOKUP(G126,'Vehicle List'!A:D,4,0)</f>
        <v>KNCP</v>
      </c>
      <c r="K126" s="64" t="s">
        <v>29</v>
      </c>
      <c r="L126" s="64" t="s">
        <v>19</v>
      </c>
      <c r="M126" s="64" t="s">
        <v>19</v>
      </c>
      <c r="N126" s="101">
        <v>0.66180555555555554</v>
      </c>
      <c r="O126" s="29" t="s">
        <v>1284</v>
      </c>
      <c r="P126" s="29" t="s">
        <v>30</v>
      </c>
    </row>
    <row r="127" spans="1:16">
      <c r="A127" s="29">
        <f t="shared" si="1"/>
        <v>126</v>
      </c>
      <c r="B127" s="75">
        <v>46086</v>
      </c>
      <c r="C127" s="63" t="s">
        <v>1268</v>
      </c>
      <c r="D127" s="63" t="s">
        <v>39</v>
      </c>
      <c r="E127" s="101">
        <v>0.7583333333333333</v>
      </c>
      <c r="F127" s="64" t="str">
        <f>VLOOKUP(G127,'Vehicle List'!A:C,3,0)</f>
        <v>Expo Trans India Limited</v>
      </c>
      <c r="G127" s="29" t="s">
        <v>1107</v>
      </c>
      <c r="H127" s="29" t="s">
        <v>1406</v>
      </c>
      <c r="I127" s="29" t="s">
        <v>1407</v>
      </c>
      <c r="J127" s="64" t="str">
        <f>VLOOKUP(G127,'Vehicle List'!A:D,4,0)</f>
        <v>Dahej</v>
      </c>
      <c r="K127" s="64" t="s">
        <v>29</v>
      </c>
      <c r="L127" s="64" t="s">
        <v>19</v>
      </c>
      <c r="M127" s="64" t="s">
        <v>19</v>
      </c>
      <c r="N127" s="101">
        <v>0.7583333333333333</v>
      </c>
      <c r="O127" s="29" t="s">
        <v>1315</v>
      </c>
      <c r="P127" s="29" t="s">
        <v>30</v>
      </c>
    </row>
    <row r="128" spans="1:16">
      <c r="A128" s="29">
        <f t="shared" si="1"/>
        <v>127</v>
      </c>
      <c r="B128" s="75">
        <v>46086</v>
      </c>
      <c r="C128" s="63" t="s">
        <v>1268</v>
      </c>
      <c r="D128" s="63" t="s">
        <v>39</v>
      </c>
      <c r="E128" s="101">
        <v>0.80138888888888893</v>
      </c>
      <c r="F128" s="64" t="str">
        <f>VLOOKUP(G128,'Vehicle List'!A:C,3,0)</f>
        <v>Rahul Roadlines</v>
      </c>
      <c r="G128" s="29" t="s">
        <v>601</v>
      </c>
      <c r="H128" s="29" t="s">
        <v>1403</v>
      </c>
      <c r="I128" s="29" t="s">
        <v>1404</v>
      </c>
      <c r="J128" s="64" t="str">
        <f>VLOOKUP(G128,'Vehicle List'!A:D,4,0)</f>
        <v>Dahej</v>
      </c>
      <c r="K128" s="64" t="s">
        <v>29</v>
      </c>
      <c r="L128" s="64" t="s">
        <v>19</v>
      </c>
      <c r="M128" s="64" t="s">
        <v>19</v>
      </c>
      <c r="N128" s="101">
        <v>0.80138888888888893</v>
      </c>
      <c r="O128" s="29" t="s">
        <v>1405</v>
      </c>
      <c r="P128" s="29" t="s">
        <v>30</v>
      </c>
    </row>
    <row r="129" spans="1:16">
      <c r="A129" s="29">
        <f t="shared" si="1"/>
        <v>128</v>
      </c>
      <c r="B129" s="75">
        <v>46086</v>
      </c>
      <c r="C129" s="63" t="s">
        <v>1268</v>
      </c>
      <c r="D129" s="63" t="s">
        <v>39</v>
      </c>
      <c r="E129" s="101">
        <v>0.80347222222222225</v>
      </c>
      <c r="F129" s="64" t="str">
        <f>VLOOKUP(G129,'Vehicle List'!A:C,3,0)</f>
        <v>Kongunadu Roadlines</v>
      </c>
      <c r="G129" s="29" t="s">
        <v>96</v>
      </c>
      <c r="H129" s="29" t="s">
        <v>1401</v>
      </c>
      <c r="I129" s="29" t="s">
        <v>1402</v>
      </c>
      <c r="J129" s="64" t="str">
        <f>VLOOKUP(G129,'Vehicle List'!A:D,4,0)</f>
        <v>Dahej</v>
      </c>
      <c r="K129" s="64" t="s">
        <v>29</v>
      </c>
      <c r="L129" s="64" t="s">
        <v>19</v>
      </c>
      <c r="M129" s="64" t="s">
        <v>19</v>
      </c>
      <c r="N129" s="101">
        <v>0.80347222222222225</v>
      </c>
      <c r="O129" s="29" t="s">
        <v>1260</v>
      </c>
      <c r="P129" s="29" t="s">
        <v>30</v>
      </c>
    </row>
    <row r="130" spans="1:16">
      <c r="A130" s="29">
        <f t="shared" si="1"/>
        <v>129</v>
      </c>
      <c r="B130" s="75">
        <v>46086</v>
      </c>
      <c r="C130" s="63" t="s">
        <v>1268</v>
      </c>
      <c r="D130" s="63" t="s">
        <v>39</v>
      </c>
      <c r="E130" s="101">
        <v>0.80694444444444446</v>
      </c>
      <c r="F130" s="64" t="str">
        <f>VLOOKUP(G130,'Vehicle List'!A:C,3,0)</f>
        <v>Kongunadu Roadlines</v>
      </c>
      <c r="G130" s="29" t="s">
        <v>449</v>
      </c>
      <c r="H130" s="29" t="s">
        <v>1399</v>
      </c>
      <c r="I130" s="29" t="s">
        <v>1400</v>
      </c>
      <c r="J130" s="64" t="str">
        <f>VLOOKUP(G130,'Vehicle List'!A:D,4,0)</f>
        <v>UHS</v>
      </c>
      <c r="K130" s="64" t="s">
        <v>29</v>
      </c>
      <c r="L130" s="64" t="s">
        <v>19</v>
      </c>
      <c r="M130" s="64" t="s">
        <v>19</v>
      </c>
      <c r="N130" s="101">
        <v>0.80694444444444446</v>
      </c>
      <c r="O130" s="29" t="s">
        <v>1271</v>
      </c>
      <c r="P130" s="29" t="s">
        <v>21</v>
      </c>
    </row>
    <row r="131" spans="1:16">
      <c r="A131" s="29">
        <f t="shared" ref="A131:A194" si="2">A130+1</f>
        <v>130</v>
      </c>
      <c r="B131" s="75">
        <v>46086</v>
      </c>
      <c r="C131" s="63" t="s">
        <v>1268</v>
      </c>
      <c r="D131" s="63" t="s">
        <v>39</v>
      </c>
      <c r="E131" s="101">
        <v>0.85416666666666663</v>
      </c>
      <c r="F131" s="64" t="str">
        <f>VLOOKUP(G131,'Vehicle List'!A:C,3,0)</f>
        <v>Kongunadu Roadlines</v>
      </c>
      <c r="G131" s="29" t="s">
        <v>388</v>
      </c>
      <c r="H131" s="29" t="s">
        <v>1398</v>
      </c>
      <c r="I131" s="29" t="s">
        <v>1397</v>
      </c>
      <c r="J131" s="64" t="str">
        <f>VLOOKUP(G131,'Vehicle List'!A:D,4,0)</f>
        <v>Chittoor</v>
      </c>
      <c r="K131" s="64" t="s">
        <v>29</v>
      </c>
      <c r="L131" s="64" t="s">
        <v>19</v>
      </c>
      <c r="M131" s="64" t="s">
        <v>19</v>
      </c>
      <c r="N131" s="101">
        <v>0.85416666666666663</v>
      </c>
      <c r="O131" s="29" t="s">
        <v>1224</v>
      </c>
      <c r="P131" s="29" t="s">
        <v>30</v>
      </c>
    </row>
    <row r="132" spans="1:16">
      <c r="A132" s="29">
        <f t="shared" si="2"/>
        <v>131</v>
      </c>
      <c r="B132" s="75">
        <v>46086</v>
      </c>
      <c r="C132" s="63" t="s">
        <v>1268</v>
      </c>
      <c r="D132" s="63" t="s">
        <v>39</v>
      </c>
      <c r="E132" s="101">
        <v>0.88541666666666663</v>
      </c>
      <c r="F132" s="64" t="str">
        <f>VLOOKUP(G132,'Vehicle List'!A:C,3,0)</f>
        <v>Kongunadu Roadlines</v>
      </c>
      <c r="G132" s="29" t="s">
        <v>372</v>
      </c>
      <c r="H132" s="29" t="s">
        <v>1229</v>
      </c>
      <c r="I132" s="29" t="s">
        <v>1230</v>
      </c>
      <c r="J132" s="64" t="str">
        <f>VLOOKUP(G132,'Vehicle List'!A:D,4,0)</f>
        <v>Chittoor</v>
      </c>
      <c r="K132" s="64" t="s">
        <v>29</v>
      </c>
      <c r="L132" s="64" t="s">
        <v>19</v>
      </c>
      <c r="M132" s="64" t="s">
        <v>19</v>
      </c>
      <c r="N132" s="101">
        <v>0.88541666666666663</v>
      </c>
      <c r="O132" s="29" t="s">
        <v>1260</v>
      </c>
      <c r="P132" s="29" t="s">
        <v>30</v>
      </c>
    </row>
    <row r="133" spans="1:16">
      <c r="A133" s="29">
        <f t="shared" si="2"/>
        <v>132</v>
      </c>
      <c r="B133" s="75">
        <v>46086</v>
      </c>
      <c r="C133" s="63" t="s">
        <v>85</v>
      </c>
      <c r="D133" s="63" t="s">
        <v>16</v>
      </c>
      <c r="E133" s="101">
        <v>0.94791666666666663</v>
      </c>
      <c r="F133" s="64" t="str">
        <f>VLOOKUP(G133,'Vehicle List'!A:C,3,0)</f>
        <v>Chaudhary Transport</v>
      </c>
      <c r="G133" s="29" t="s">
        <v>575</v>
      </c>
      <c r="H133" s="29" t="s">
        <v>1343</v>
      </c>
      <c r="I133" s="29" t="s">
        <v>1344</v>
      </c>
      <c r="J133" s="64" t="str">
        <f>VLOOKUP(G133,'Vehicle List'!A:D,4,0)</f>
        <v>KNCP</v>
      </c>
      <c r="K133" s="64" t="s">
        <v>29</v>
      </c>
      <c r="L133" s="64" t="s">
        <v>19</v>
      </c>
      <c r="M133" s="64" t="s">
        <v>19</v>
      </c>
      <c r="N133" s="101">
        <v>0.94791666666666663</v>
      </c>
      <c r="O133" s="29" t="s">
        <v>1432</v>
      </c>
      <c r="P133" s="29" t="s">
        <v>30</v>
      </c>
    </row>
    <row r="134" spans="1:16">
      <c r="A134" s="29">
        <f t="shared" si="2"/>
        <v>133</v>
      </c>
      <c r="B134" s="75">
        <v>46086</v>
      </c>
      <c r="C134" s="63" t="s">
        <v>85</v>
      </c>
      <c r="D134" s="63" t="s">
        <v>16</v>
      </c>
      <c r="E134" s="101">
        <v>0.95833333333333337</v>
      </c>
      <c r="F134" s="64" t="str">
        <f>VLOOKUP(G134,'Vehicle List'!A:C,3,0)</f>
        <v>Kongunadu Roadlines</v>
      </c>
      <c r="G134" s="29" t="s">
        <v>623</v>
      </c>
      <c r="H134" s="29" t="s">
        <v>1423</v>
      </c>
      <c r="I134" s="29" t="s">
        <v>1266</v>
      </c>
      <c r="J134" s="64" t="str">
        <f>VLOOKUP(G134,'Vehicle List'!A:D,4,0)</f>
        <v>Dahej</v>
      </c>
      <c r="K134" s="64" t="s">
        <v>26</v>
      </c>
      <c r="L134" s="64" t="s">
        <v>19</v>
      </c>
      <c r="M134" s="64" t="s">
        <v>20</v>
      </c>
      <c r="N134" s="101">
        <v>0.4861111111111111</v>
      </c>
      <c r="O134" s="29" t="s">
        <v>1124</v>
      </c>
      <c r="P134" s="29" t="s">
        <v>21</v>
      </c>
    </row>
    <row r="135" spans="1:16">
      <c r="A135" s="29">
        <f t="shared" si="2"/>
        <v>134</v>
      </c>
      <c r="B135" s="75">
        <v>46086</v>
      </c>
      <c r="C135" s="63" t="s">
        <v>85</v>
      </c>
      <c r="D135" s="63" t="s">
        <v>16</v>
      </c>
      <c r="E135" s="101">
        <v>0.97847222222222219</v>
      </c>
      <c r="F135" s="64" t="str">
        <f>VLOOKUP(G135,'Vehicle List'!A:C,3,0)</f>
        <v>Kongunadu Roadlines</v>
      </c>
      <c r="G135" s="29" t="s">
        <v>588</v>
      </c>
      <c r="H135" s="29" t="s">
        <v>1254</v>
      </c>
      <c r="I135" s="29" t="s">
        <v>1424</v>
      </c>
      <c r="J135" s="64" t="str">
        <f>VLOOKUP(G135,'Vehicle List'!A:D,4,0)</f>
        <v>Ennore</v>
      </c>
      <c r="K135" s="64" t="s">
        <v>1171</v>
      </c>
      <c r="L135" s="64" t="s">
        <v>19</v>
      </c>
      <c r="M135" s="64" t="s">
        <v>20</v>
      </c>
      <c r="N135" s="101">
        <v>0.49930555555555556</v>
      </c>
      <c r="O135" s="29" t="s">
        <v>1085</v>
      </c>
      <c r="P135" s="29" t="s">
        <v>21</v>
      </c>
    </row>
    <row r="136" spans="1:16">
      <c r="A136" s="29">
        <f t="shared" si="2"/>
        <v>135</v>
      </c>
      <c r="B136" s="75">
        <v>46086</v>
      </c>
      <c r="C136" s="63" t="s">
        <v>85</v>
      </c>
      <c r="D136" s="63" t="s">
        <v>16</v>
      </c>
      <c r="E136" s="101">
        <v>0.98611111111111116</v>
      </c>
      <c r="F136" s="64" t="str">
        <f>VLOOKUP(G136,'Vehicle List'!A:C,3,0)</f>
        <v>Expo Trans India Limited</v>
      </c>
      <c r="G136" s="29" t="s">
        <v>524</v>
      </c>
      <c r="H136" s="29" t="s">
        <v>1425</v>
      </c>
      <c r="I136" s="29" t="s">
        <v>1426</v>
      </c>
      <c r="J136" s="64" t="str">
        <f>VLOOKUP(G136,'Vehicle List'!A:D,4,0)</f>
        <v>Jalandhar</v>
      </c>
      <c r="K136" s="64" t="s">
        <v>1171</v>
      </c>
      <c r="L136" s="64" t="s">
        <v>19</v>
      </c>
      <c r="M136" s="64" t="s">
        <v>20</v>
      </c>
      <c r="N136" s="101">
        <v>0.50277777777777777</v>
      </c>
      <c r="O136" s="29" t="s">
        <v>1204</v>
      </c>
      <c r="P136" s="29" t="s">
        <v>21</v>
      </c>
    </row>
    <row r="137" spans="1:16">
      <c r="A137" s="29">
        <f t="shared" si="2"/>
        <v>136</v>
      </c>
      <c r="B137" s="75">
        <v>46087</v>
      </c>
      <c r="C137" s="63" t="s">
        <v>85</v>
      </c>
      <c r="D137" s="63" t="s">
        <v>16</v>
      </c>
      <c r="E137" s="101">
        <v>4.583333333333333E-2</v>
      </c>
      <c r="F137" s="64" t="str">
        <f>VLOOKUP(G137,'Vehicle List'!A:C,3,0)</f>
        <v>Green Planet</v>
      </c>
      <c r="G137" s="29" t="s">
        <v>627</v>
      </c>
      <c r="H137" s="29" t="s">
        <v>1427</v>
      </c>
      <c r="I137" s="29" t="s">
        <v>1428</v>
      </c>
      <c r="J137" s="64" t="str">
        <f>VLOOKUP(G137,'Vehicle List'!A:D,4,0)</f>
        <v>Kochi</v>
      </c>
      <c r="K137" s="64" t="s">
        <v>29</v>
      </c>
      <c r="L137" s="64" t="s">
        <v>19</v>
      </c>
      <c r="M137" s="64" t="s">
        <v>19</v>
      </c>
      <c r="N137" s="101">
        <v>4.583333333333333E-2</v>
      </c>
      <c r="O137" s="29" t="s">
        <v>1260</v>
      </c>
      <c r="P137" s="29" t="s">
        <v>30</v>
      </c>
    </row>
    <row r="138" spans="1:16">
      <c r="A138" s="29">
        <f t="shared" si="2"/>
        <v>137</v>
      </c>
      <c r="B138" s="75">
        <v>46087</v>
      </c>
      <c r="C138" s="63" t="s">
        <v>85</v>
      </c>
      <c r="D138" s="63" t="s">
        <v>16</v>
      </c>
      <c r="E138" s="101">
        <v>7.013888888888889E-2</v>
      </c>
      <c r="F138" s="64" t="str">
        <f>VLOOKUP(G138,'Vehicle List'!A:C,3,0)</f>
        <v>Kongunadu Roadlines</v>
      </c>
      <c r="G138" s="29" t="s">
        <v>588</v>
      </c>
      <c r="H138" s="29" t="s">
        <v>1254</v>
      </c>
      <c r="I138" s="29" t="s">
        <v>1424</v>
      </c>
      <c r="J138" s="64" t="str">
        <f>VLOOKUP(G138,'Vehicle List'!A:D,4,0)</f>
        <v>Ennore</v>
      </c>
      <c r="K138" s="64" t="s">
        <v>29</v>
      </c>
      <c r="L138" s="64" t="s">
        <v>19</v>
      </c>
      <c r="M138" s="64" t="s">
        <v>19</v>
      </c>
      <c r="N138" s="101">
        <v>7.013888888888889E-2</v>
      </c>
      <c r="O138" s="29" t="s">
        <v>1260</v>
      </c>
      <c r="P138" s="29" t="s">
        <v>21</v>
      </c>
    </row>
    <row r="139" spans="1:16">
      <c r="A139" s="29">
        <f t="shared" si="2"/>
        <v>138</v>
      </c>
      <c r="B139" s="75">
        <v>46087</v>
      </c>
      <c r="C139" s="63" t="s">
        <v>85</v>
      </c>
      <c r="D139" s="63" t="s">
        <v>16</v>
      </c>
      <c r="E139" s="101">
        <v>0.14305555555555555</v>
      </c>
      <c r="F139" s="64" t="str">
        <f>VLOOKUP(G139,'Vehicle List'!A:C,3,0)</f>
        <v>Sritransways Logistics</v>
      </c>
      <c r="G139" s="29" t="s">
        <v>86</v>
      </c>
      <c r="H139" s="29" t="s">
        <v>1429</v>
      </c>
      <c r="I139" s="29" t="s">
        <v>1430</v>
      </c>
      <c r="J139" s="64" t="str">
        <f>VLOOKUP(G139,'Vehicle List'!A:D,4,0)</f>
        <v>AKT</v>
      </c>
      <c r="K139" s="64" t="s">
        <v>29</v>
      </c>
      <c r="L139" s="64" t="s">
        <v>19</v>
      </c>
      <c r="M139" s="64" t="s">
        <v>19</v>
      </c>
      <c r="N139" s="101">
        <v>0.14305555555555555</v>
      </c>
      <c r="O139" s="29" t="s">
        <v>1225</v>
      </c>
      <c r="P139" s="29" t="s">
        <v>30</v>
      </c>
    </row>
    <row r="140" spans="1:16">
      <c r="A140" s="29">
        <f t="shared" si="2"/>
        <v>139</v>
      </c>
      <c r="B140" s="75">
        <v>46087</v>
      </c>
      <c r="C140" s="63" t="s">
        <v>85</v>
      </c>
      <c r="D140" s="63" t="s">
        <v>16</v>
      </c>
      <c r="E140" s="101">
        <v>0.14305555555555555</v>
      </c>
      <c r="F140" s="64" t="str">
        <f>VLOOKUP(G140,'Vehicle List'!A:C,3,0)</f>
        <v>Oraya Gas India Pvt.Ltd.</v>
      </c>
      <c r="G140" s="29" t="s">
        <v>37</v>
      </c>
      <c r="H140" s="29" t="s">
        <v>1433</v>
      </c>
      <c r="I140" s="29" t="s">
        <v>1434</v>
      </c>
      <c r="J140" s="64" t="str">
        <f>VLOOKUP(G140,'Vehicle List'!A:D,4,0)</f>
        <v>Kochi</v>
      </c>
      <c r="K140" s="64" t="s">
        <v>29</v>
      </c>
      <c r="L140" s="64" t="s">
        <v>19</v>
      </c>
      <c r="M140" s="64" t="s">
        <v>19</v>
      </c>
      <c r="N140" s="101">
        <v>0.14305555555555555</v>
      </c>
      <c r="O140" s="29" t="s">
        <v>1260</v>
      </c>
      <c r="P140" s="29" t="s">
        <v>30</v>
      </c>
    </row>
    <row r="141" spans="1:16">
      <c r="A141" s="29">
        <f t="shared" si="2"/>
        <v>140</v>
      </c>
      <c r="B141" s="75">
        <v>46087</v>
      </c>
      <c r="C141" s="63" t="s">
        <v>1123</v>
      </c>
      <c r="D141" s="63" t="s">
        <v>28</v>
      </c>
      <c r="E141" s="101">
        <v>0.25277777777777777</v>
      </c>
      <c r="F141" s="64" t="str">
        <f>VLOOKUP(G141,'Vehicle List'!A:C,3,0)</f>
        <v>Anmol Transport</v>
      </c>
      <c r="G141" s="29" t="s">
        <v>559</v>
      </c>
      <c r="H141" s="29" t="s">
        <v>1438</v>
      </c>
      <c r="I141" s="29" t="s">
        <v>1437</v>
      </c>
      <c r="J141" s="64" t="str">
        <f>VLOOKUP(G141,'Vehicle List'!A:D,4,0)</f>
        <v>Jalandhar</v>
      </c>
      <c r="K141" s="64" t="s">
        <v>18</v>
      </c>
      <c r="L141" s="64" t="s">
        <v>19</v>
      </c>
      <c r="M141" s="64" t="s">
        <v>20</v>
      </c>
      <c r="N141" s="101">
        <v>0.26458333333333334</v>
      </c>
      <c r="O141" s="29" t="s">
        <v>1204</v>
      </c>
      <c r="P141" s="29" t="s">
        <v>21</v>
      </c>
    </row>
    <row r="142" spans="1:16">
      <c r="A142" s="29">
        <f t="shared" si="2"/>
        <v>141</v>
      </c>
      <c r="B142" s="75">
        <v>46087</v>
      </c>
      <c r="C142" s="63" t="s">
        <v>1123</v>
      </c>
      <c r="D142" s="63" t="s">
        <v>28</v>
      </c>
      <c r="E142" s="101">
        <v>0.26944444444444443</v>
      </c>
      <c r="F142" s="64" t="str">
        <f>VLOOKUP(G142,'Vehicle List'!A:C,3,0)</f>
        <v>Expo Trans India Limited</v>
      </c>
      <c r="G142" s="29" t="s">
        <v>64</v>
      </c>
      <c r="H142" s="29" t="s">
        <v>1451</v>
      </c>
      <c r="I142" s="29" t="s">
        <v>1439</v>
      </c>
      <c r="J142" s="64" t="str">
        <f>VLOOKUP(G142,'Vehicle List'!A:D,4,0)</f>
        <v>BJJ</v>
      </c>
      <c r="K142" s="64" t="s">
        <v>26</v>
      </c>
      <c r="L142" s="64" t="s">
        <v>19</v>
      </c>
      <c r="M142" s="64" t="s">
        <v>20</v>
      </c>
      <c r="N142" s="101">
        <v>0.27986111111111112</v>
      </c>
      <c r="O142" s="29" t="s">
        <v>1078</v>
      </c>
      <c r="P142" s="29" t="s">
        <v>21</v>
      </c>
    </row>
    <row r="143" spans="1:16">
      <c r="A143" s="29">
        <f t="shared" si="2"/>
        <v>142</v>
      </c>
      <c r="B143" s="75">
        <v>46087</v>
      </c>
      <c r="C143" s="63" t="s">
        <v>1123</v>
      </c>
      <c r="D143" s="63" t="s">
        <v>28</v>
      </c>
      <c r="E143" s="101">
        <v>0.27500000000000002</v>
      </c>
      <c r="F143" s="64" t="str">
        <f>VLOOKUP(G143,'Vehicle List'!A:C,3,0)</f>
        <v>Kongunadu Roadlines</v>
      </c>
      <c r="G143" s="29" t="s">
        <v>59</v>
      </c>
      <c r="H143" s="29" t="s">
        <v>1440</v>
      </c>
      <c r="I143" s="29" t="s">
        <v>1243</v>
      </c>
      <c r="J143" s="64" t="str">
        <f>VLOOKUP(G143,'Vehicle List'!A:D,4,0)</f>
        <v>Kochi</v>
      </c>
      <c r="K143" s="64" t="s">
        <v>18</v>
      </c>
      <c r="L143" s="64" t="s">
        <v>19</v>
      </c>
      <c r="M143" s="64" t="s">
        <v>20</v>
      </c>
      <c r="N143" s="101">
        <v>0.28541666666666665</v>
      </c>
      <c r="O143" s="29" t="s">
        <v>1244</v>
      </c>
      <c r="P143" s="29" t="s">
        <v>21</v>
      </c>
    </row>
    <row r="144" spans="1:16">
      <c r="A144" s="29">
        <f t="shared" si="2"/>
        <v>143</v>
      </c>
      <c r="B144" s="75">
        <v>46087</v>
      </c>
      <c r="C144" s="63" t="s">
        <v>1123</v>
      </c>
      <c r="D144" s="63" t="s">
        <v>28</v>
      </c>
      <c r="E144" s="101">
        <v>0.29236111111111113</v>
      </c>
      <c r="F144" s="64" t="str">
        <f>VLOOKUP(G144,'Vehicle List'!A:C,3,0)</f>
        <v>Expo Trans India Limited</v>
      </c>
      <c r="G144" s="29" t="s">
        <v>287</v>
      </c>
      <c r="H144" s="29" t="s">
        <v>1187</v>
      </c>
      <c r="I144" s="29" t="s">
        <v>1188</v>
      </c>
      <c r="J144" s="64" t="str">
        <f>VLOOKUP(G144,'Vehicle List'!A:D,4,0)</f>
        <v>Kolar</v>
      </c>
      <c r="K144" s="64" t="s">
        <v>29</v>
      </c>
      <c r="L144" s="64" t="s">
        <v>19</v>
      </c>
      <c r="M144" s="64" t="s">
        <v>19</v>
      </c>
      <c r="N144" s="101">
        <v>0.29722222222222222</v>
      </c>
      <c r="O144" s="29" t="s">
        <v>1189</v>
      </c>
      <c r="P144" s="29" t="s">
        <v>30</v>
      </c>
    </row>
    <row r="145" spans="1:16">
      <c r="A145" s="29">
        <f t="shared" si="2"/>
        <v>144</v>
      </c>
      <c r="B145" s="75">
        <v>46087</v>
      </c>
      <c r="C145" s="63" t="s">
        <v>1123</v>
      </c>
      <c r="D145" s="63" t="s">
        <v>28</v>
      </c>
      <c r="E145" s="101">
        <v>0.2902777777777778</v>
      </c>
      <c r="F145" s="64" t="str">
        <f>VLOOKUP(G145,'Vehicle List'!A:C,3,0)</f>
        <v>Rahul Roadlines</v>
      </c>
      <c r="G145" s="29" t="s">
        <v>23</v>
      </c>
      <c r="H145" s="29" t="s">
        <v>1441</v>
      </c>
      <c r="I145" s="29" t="s">
        <v>1442</v>
      </c>
      <c r="J145" s="64" t="str">
        <f>VLOOKUP(G145,'Vehicle List'!A:D,4,0)</f>
        <v>BJJ</v>
      </c>
      <c r="K145" s="64" t="s">
        <v>18</v>
      </c>
      <c r="L145" s="64" t="s">
        <v>19</v>
      </c>
      <c r="M145" s="64" t="s">
        <v>20</v>
      </c>
      <c r="N145" s="101">
        <v>0.29930555555555555</v>
      </c>
      <c r="O145" s="29" t="s">
        <v>1078</v>
      </c>
      <c r="P145" s="29" t="s">
        <v>21</v>
      </c>
    </row>
    <row r="146" spans="1:16">
      <c r="A146" s="29">
        <f t="shared" si="2"/>
        <v>145</v>
      </c>
      <c r="B146" s="75">
        <v>46087</v>
      </c>
      <c r="C146" s="63" t="s">
        <v>1123</v>
      </c>
      <c r="D146" s="63" t="s">
        <v>28</v>
      </c>
      <c r="E146" s="101">
        <v>0.29722222222222222</v>
      </c>
      <c r="F146" s="64" t="str">
        <f>VLOOKUP(G146,'Vehicle List'!A:C,3,0)</f>
        <v>Kongunadu Roadlines</v>
      </c>
      <c r="G146" s="29" t="s">
        <v>591</v>
      </c>
      <c r="H146" s="29" t="s">
        <v>1242</v>
      </c>
      <c r="I146" s="29" t="s">
        <v>1243</v>
      </c>
      <c r="J146" s="64" t="str">
        <f>VLOOKUP(G146,'Vehicle List'!A:D,4,0)</f>
        <v>Kochi</v>
      </c>
      <c r="K146" s="64" t="s">
        <v>29</v>
      </c>
      <c r="L146" s="64" t="s">
        <v>19</v>
      </c>
      <c r="M146" s="64" t="s">
        <v>19</v>
      </c>
      <c r="N146" s="101">
        <v>0.30277777777777776</v>
      </c>
      <c r="O146" s="29" t="s">
        <v>1435</v>
      </c>
      <c r="P146" s="29" t="s">
        <v>21</v>
      </c>
    </row>
    <row r="147" spans="1:16">
      <c r="A147" s="29">
        <f t="shared" si="2"/>
        <v>146</v>
      </c>
      <c r="B147" s="75">
        <v>46087</v>
      </c>
      <c r="C147" s="63" t="s">
        <v>1123</v>
      </c>
      <c r="D147" s="63" t="s">
        <v>28</v>
      </c>
      <c r="E147" s="101">
        <v>0.36944444444444446</v>
      </c>
      <c r="F147" s="64" t="str">
        <f>VLOOKUP(G147,'Vehicle List'!A:C,3,0)</f>
        <v>Dhinesh Transports</v>
      </c>
      <c r="G147" s="29" t="s">
        <v>453</v>
      </c>
      <c r="H147" s="29" t="s">
        <v>1443</v>
      </c>
      <c r="I147" s="29" t="s">
        <v>1444</v>
      </c>
      <c r="J147" s="64" t="str">
        <f>VLOOKUP(G147,'Vehicle List'!A:D,4,0)</f>
        <v>MMC</v>
      </c>
      <c r="K147" s="64" t="s">
        <v>18</v>
      </c>
      <c r="L147" s="64" t="s">
        <v>19</v>
      </c>
      <c r="M147" s="64" t="s">
        <v>20</v>
      </c>
      <c r="N147" s="101">
        <v>0.38055555555555554</v>
      </c>
      <c r="O147" s="29" t="s">
        <v>1436</v>
      </c>
      <c r="P147" s="29" t="s">
        <v>21</v>
      </c>
    </row>
    <row r="148" spans="1:16">
      <c r="A148" s="29">
        <f t="shared" si="2"/>
        <v>147</v>
      </c>
      <c r="B148" s="75">
        <v>46087</v>
      </c>
      <c r="C148" s="63" t="s">
        <v>1123</v>
      </c>
      <c r="D148" s="63" t="s">
        <v>28</v>
      </c>
      <c r="E148" s="101">
        <v>0.375</v>
      </c>
      <c r="F148" s="64" t="str">
        <f>VLOOKUP(G148,'Vehicle List'!A:C,3,0)</f>
        <v>Anmol Transport</v>
      </c>
      <c r="G148" s="29" t="s">
        <v>554</v>
      </c>
      <c r="H148" s="29" t="s">
        <v>1446</v>
      </c>
      <c r="I148" s="29" t="s">
        <v>1445</v>
      </c>
      <c r="J148" s="64" t="str">
        <f>VLOOKUP(G148,'Vehicle List'!A:D,4,0)</f>
        <v>Jalandhar</v>
      </c>
      <c r="K148" s="64" t="s">
        <v>29</v>
      </c>
      <c r="L148" s="64" t="s">
        <v>19</v>
      </c>
      <c r="M148" s="64" t="s">
        <v>19</v>
      </c>
      <c r="N148" s="101">
        <v>0.38194444444444442</v>
      </c>
      <c r="O148" s="29" t="s">
        <v>1182</v>
      </c>
      <c r="P148" s="29" t="s">
        <v>30</v>
      </c>
    </row>
    <row r="149" spans="1:16">
      <c r="A149" s="29">
        <f t="shared" si="2"/>
        <v>148</v>
      </c>
      <c r="B149" s="75">
        <v>46087</v>
      </c>
      <c r="C149" s="63" t="s">
        <v>1123</v>
      </c>
      <c r="D149" s="63" t="s">
        <v>28</v>
      </c>
      <c r="E149" s="101">
        <v>0.37777777777777777</v>
      </c>
      <c r="F149" s="64" t="str">
        <f>VLOOKUP(G149,'Vehicle List'!A:C,3,0)</f>
        <v>Rahul Roadlines</v>
      </c>
      <c r="G149" s="29" t="s">
        <v>1138</v>
      </c>
      <c r="H149" s="29" t="s">
        <v>1448</v>
      </c>
      <c r="I149" s="29" t="s">
        <v>1447</v>
      </c>
      <c r="J149" s="64" t="str">
        <f>VLOOKUP(G149,'Vehicle List'!A:D,4,0)</f>
        <v>Bhopal</v>
      </c>
      <c r="K149" s="64" t="s">
        <v>29</v>
      </c>
      <c r="L149" s="64" t="s">
        <v>19</v>
      </c>
      <c r="M149" s="64" t="s">
        <v>19</v>
      </c>
      <c r="N149" s="101">
        <v>0.38333333333333336</v>
      </c>
      <c r="O149" s="29" t="s">
        <v>1315</v>
      </c>
      <c r="P149" s="29" t="s">
        <v>30</v>
      </c>
    </row>
    <row r="150" spans="1:16">
      <c r="A150" s="29">
        <f t="shared" si="2"/>
        <v>149</v>
      </c>
      <c r="B150" s="75">
        <v>46087</v>
      </c>
      <c r="C150" s="63" t="s">
        <v>1123</v>
      </c>
      <c r="D150" s="63" t="s">
        <v>28</v>
      </c>
      <c r="E150" s="101">
        <v>0.37986111111111109</v>
      </c>
      <c r="F150" s="64" t="str">
        <f>VLOOKUP(G150,'Vehicle List'!A:C,3,0)</f>
        <v>Oraya Gas India Pvt.Ltd.</v>
      </c>
      <c r="G150" s="29" t="s">
        <v>1038</v>
      </c>
      <c r="H150" s="29" t="s">
        <v>1350</v>
      </c>
      <c r="I150" s="29" t="s">
        <v>1349</v>
      </c>
      <c r="J150" s="64" t="str">
        <f>VLOOKUP(G150,'Vehicle List'!A:D,4,0)</f>
        <v>Ennore</v>
      </c>
      <c r="K150" s="64" t="s">
        <v>29</v>
      </c>
      <c r="L150" s="64" t="s">
        <v>19</v>
      </c>
      <c r="M150" s="64" t="s">
        <v>19</v>
      </c>
      <c r="N150" s="101">
        <v>0.38819444444444445</v>
      </c>
      <c r="O150" s="29" t="s">
        <v>1195</v>
      </c>
      <c r="P150" s="29" t="s">
        <v>21</v>
      </c>
    </row>
    <row r="151" spans="1:16">
      <c r="A151" s="29">
        <f t="shared" si="2"/>
        <v>150</v>
      </c>
      <c r="B151" s="75">
        <v>46087</v>
      </c>
      <c r="C151" s="63" t="s">
        <v>1123</v>
      </c>
      <c r="D151" s="63" t="s">
        <v>28</v>
      </c>
      <c r="E151" s="101">
        <v>0.38055555555555554</v>
      </c>
      <c r="F151" s="64" t="str">
        <f>VLOOKUP(G151,'Vehicle List'!A:C,3,0)</f>
        <v>Oraya Gas India Pvt.Ltd.</v>
      </c>
      <c r="G151" s="29" t="s">
        <v>37</v>
      </c>
      <c r="H151" s="29" t="s">
        <v>1433</v>
      </c>
      <c r="I151" s="29" t="s">
        <v>1434</v>
      </c>
      <c r="J151" s="64" t="str">
        <f>VLOOKUP(G151,'Vehicle List'!A:D,4,0)</f>
        <v>Kochi</v>
      </c>
      <c r="K151" s="64" t="s">
        <v>29</v>
      </c>
      <c r="L151" s="64" t="s">
        <v>19</v>
      </c>
      <c r="M151" s="64" t="s">
        <v>19</v>
      </c>
      <c r="N151" s="101">
        <v>0.38819444444444445</v>
      </c>
      <c r="O151" s="29" t="s">
        <v>1315</v>
      </c>
      <c r="P151" s="29" t="s">
        <v>30</v>
      </c>
    </row>
    <row r="152" spans="1:16">
      <c r="A152" s="29">
        <f t="shared" si="2"/>
        <v>151</v>
      </c>
      <c r="B152" s="75">
        <v>46087</v>
      </c>
      <c r="C152" s="63" t="s">
        <v>1123</v>
      </c>
      <c r="D152" s="63" t="s">
        <v>28</v>
      </c>
      <c r="E152" s="101">
        <v>0.41666666666666669</v>
      </c>
      <c r="F152" s="64" t="str">
        <f>VLOOKUP(G152,'Vehicle List'!A:C,3,0)</f>
        <v>Anmol Transport</v>
      </c>
      <c r="G152" s="29" t="s">
        <v>555</v>
      </c>
      <c r="H152" s="29" t="s">
        <v>1450</v>
      </c>
      <c r="I152" s="29" t="s">
        <v>1449</v>
      </c>
      <c r="J152" s="64" t="str">
        <f>VLOOKUP(G152,'Vehicle List'!A:D,4,0)</f>
        <v>Jalandhar</v>
      </c>
      <c r="K152" s="64" t="s">
        <v>29</v>
      </c>
      <c r="L152" s="64" t="s">
        <v>19</v>
      </c>
      <c r="M152" s="64" t="s">
        <v>19</v>
      </c>
      <c r="N152" s="101">
        <v>0.42083333333333334</v>
      </c>
      <c r="O152" s="29" t="s">
        <v>1284</v>
      </c>
      <c r="P152" s="29" t="s">
        <v>30</v>
      </c>
    </row>
    <row r="153" spans="1:16">
      <c r="A153" s="29">
        <f t="shared" si="2"/>
        <v>152</v>
      </c>
      <c r="B153" s="75">
        <v>46087</v>
      </c>
      <c r="C153" s="63" t="s">
        <v>1123</v>
      </c>
      <c r="D153" s="63" t="s">
        <v>28</v>
      </c>
      <c r="E153" s="101">
        <v>0.44027777777777777</v>
      </c>
      <c r="F153" s="64" t="str">
        <f>VLOOKUP(G153,'Vehicle List'!A:C,3,0)</f>
        <v>Kongunadu Roadlines</v>
      </c>
      <c r="G153" s="29" t="s">
        <v>74</v>
      </c>
      <c r="H153" s="29" t="s">
        <v>740</v>
      </c>
      <c r="I153" s="29" t="s">
        <v>741</v>
      </c>
      <c r="J153" s="64" t="str">
        <f>VLOOKUP(G153,'Vehicle List'!A:D,4,0)</f>
        <v>Ennore</v>
      </c>
      <c r="K153" s="64" t="s">
        <v>26</v>
      </c>
      <c r="L153" s="64" t="s">
        <v>19</v>
      </c>
      <c r="M153" s="64" t="s">
        <v>20</v>
      </c>
      <c r="N153" s="101">
        <v>0.48819444444444443</v>
      </c>
      <c r="O153" s="29" t="s">
        <v>1085</v>
      </c>
      <c r="P153" s="29" t="s">
        <v>21</v>
      </c>
    </row>
    <row r="154" spans="1:16">
      <c r="A154" s="29">
        <f t="shared" si="2"/>
        <v>153</v>
      </c>
      <c r="B154" s="75">
        <v>46087</v>
      </c>
      <c r="C154" s="63" t="s">
        <v>1123</v>
      </c>
      <c r="D154" s="63" t="s">
        <v>28</v>
      </c>
      <c r="E154" s="101">
        <v>0.47708333333333336</v>
      </c>
      <c r="F154" s="64" t="str">
        <f>VLOOKUP(G154,'Vehicle List'!A:C,3,0)</f>
        <v>Chaudhary Transport</v>
      </c>
      <c r="G154" s="29" t="s">
        <v>572</v>
      </c>
      <c r="H154" s="29" t="s">
        <v>1343</v>
      </c>
      <c r="I154" s="29" t="s">
        <v>1344</v>
      </c>
      <c r="J154" s="64" t="str">
        <f>VLOOKUP(G154,'Vehicle List'!A:D,4,0)</f>
        <v>KNCP</v>
      </c>
      <c r="K154" s="64" t="s">
        <v>26</v>
      </c>
      <c r="L154" s="64" t="s">
        <v>19</v>
      </c>
      <c r="M154" s="64" t="s">
        <v>20</v>
      </c>
      <c r="N154" s="101">
        <v>0.49444444444444446</v>
      </c>
      <c r="O154" s="29" t="s">
        <v>1286</v>
      </c>
      <c r="P154" s="29" t="s">
        <v>21</v>
      </c>
    </row>
    <row r="155" spans="1:16">
      <c r="A155" s="29">
        <f t="shared" si="2"/>
        <v>154</v>
      </c>
      <c r="B155" s="75">
        <v>46087</v>
      </c>
      <c r="C155" s="63" t="s">
        <v>1123</v>
      </c>
      <c r="D155" s="63" t="s">
        <v>28</v>
      </c>
      <c r="E155" s="101">
        <v>0.55902777777777779</v>
      </c>
      <c r="F155" s="64" t="str">
        <f>VLOOKUP(G155,'Vehicle List'!A:C,3,0)</f>
        <v>Suraj Tour &amp; Travels</v>
      </c>
      <c r="G155" s="29" t="s">
        <v>566</v>
      </c>
      <c r="H155" s="29" t="s">
        <v>1453</v>
      </c>
      <c r="I155" s="29" t="s">
        <v>1452</v>
      </c>
      <c r="J155" s="64" t="str">
        <f>VLOOKUP(G155,'Vehicle List'!A:D,4,0)</f>
        <v>BJJ</v>
      </c>
      <c r="K155" s="64" t="s">
        <v>29</v>
      </c>
      <c r="L155" s="64" t="s">
        <v>19</v>
      </c>
      <c r="M155" s="64" t="s">
        <v>19</v>
      </c>
      <c r="N155" s="101">
        <v>0.56458333333333333</v>
      </c>
      <c r="O155" s="29" t="s">
        <v>1195</v>
      </c>
      <c r="P155" s="29" t="s">
        <v>21</v>
      </c>
    </row>
    <row r="156" spans="1:16">
      <c r="A156" s="29">
        <f t="shared" si="2"/>
        <v>155</v>
      </c>
      <c r="B156" s="75">
        <v>46087</v>
      </c>
      <c r="C156" s="63" t="s">
        <v>1268</v>
      </c>
      <c r="D156" s="63" t="s">
        <v>39</v>
      </c>
      <c r="E156" s="101">
        <v>0.60833333333333328</v>
      </c>
      <c r="F156" s="64" t="str">
        <f>VLOOKUP(G156,'Vehicle List'!A:C,3,0)</f>
        <v>Rahul Roadlines</v>
      </c>
      <c r="G156" s="29" t="s">
        <v>601</v>
      </c>
      <c r="H156" s="29" t="s">
        <v>1403</v>
      </c>
      <c r="I156" s="29" t="s">
        <v>1404</v>
      </c>
      <c r="J156" s="64" t="str">
        <f>VLOOKUP(G156,'Vehicle List'!A:D,4,0)</f>
        <v>Dahej</v>
      </c>
      <c r="K156" s="64" t="s">
        <v>29</v>
      </c>
      <c r="L156" s="64" t="s">
        <v>19</v>
      </c>
      <c r="M156" s="64" t="s">
        <v>19</v>
      </c>
      <c r="N156" s="101">
        <v>0.60833333333333328</v>
      </c>
      <c r="O156" s="29" t="s">
        <v>1315</v>
      </c>
      <c r="P156" s="29" t="s">
        <v>30</v>
      </c>
    </row>
    <row r="157" spans="1:16">
      <c r="A157" s="29">
        <f t="shared" si="2"/>
        <v>156</v>
      </c>
      <c r="B157" s="75">
        <v>46087</v>
      </c>
      <c r="C157" s="63" t="s">
        <v>1268</v>
      </c>
      <c r="D157" s="63" t="s">
        <v>39</v>
      </c>
      <c r="E157" s="101">
        <v>0.60486111111111107</v>
      </c>
      <c r="F157" s="64" t="str">
        <f>VLOOKUP(G157,'Vehicle List'!A:C,3,0)</f>
        <v>Kongunadu Roadlines</v>
      </c>
      <c r="G157" s="29" t="s">
        <v>297</v>
      </c>
      <c r="H157" s="29" t="s">
        <v>1460</v>
      </c>
      <c r="I157" s="29" t="s">
        <v>1355</v>
      </c>
      <c r="J157" s="64" t="str">
        <f>VLOOKUP(G157,'Vehicle List'!A:D,4,0)</f>
        <v>AKT</v>
      </c>
      <c r="K157" s="64" t="s">
        <v>26</v>
      </c>
      <c r="L157" s="64" t="s">
        <v>19</v>
      </c>
      <c r="M157" s="64" t="s">
        <v>20</v>
      </c>
      <c r="N157" s="101">
        <v>0.65486111111111112</v>
      </c>
      <c r="O157" s="29" t="s">
        <v>1227</v>
      </c>
      <c r="P157" s="29" t="s">
        <v>21</v>
      </c>
    </row>
    <row r="158" spans="1:16">
      <c r="A158" s="29">
        <f t="shared" si="2"/>
        <v>157</v>
      </c>
      <c r="B158" s="75">
        <v>46087</v>
      </c>
      <c r="C158" s="63" t="s">
        <v>1268</v>
      </c>
      <c r="D158" s="63" t="s">
        <v>39</v>
      </c>
      <c r="E158" s="101">
        <v>0.62361111111111112</v>
      </c>
      <c r="F158" s="64" t="str">
        <f>VLOOKUP(G158,'Vehicle List'!A:C,3,0)</f>
        <v>Rahul Roadlines</v>
      </c>
      <c r="G158" s="29" t="s">
        <v>1145</v>
      </c>
      <c r="H158" s="29" t="s">
        <v>1458</v>
      </c>
      <c r="I158" s="29" t="s">
        <v>1459</v>
      </c>
      <c r="J158" s="64" t="str">
        <f>VLOOKUP(G158,'Vehicle List'!A:D,4,0)</f>
        <v>Bhopal</v>
      </c>
      <c r="K158" s="64" t="s">
        <v>29</v>
      </c>
      <c r="L158" s="64" t="s">
        <v>19</v>
      </c>
      <c r="M158" s="64" t="s">
        <v>19</v>
      </c>
      <c r="N158" s="101">
        <v>0.62361111111111112</v>
      </c>
      <c r="O158" s="29" t="s">
        <v>1195</v>
      </c>
      <c r="P158" s="29" t="s">
        <v>21</v>
      </c>
    </row>
    <row r="159" spans="1:16">
      <c r="A159" s="29">
        <f t="shared" si="2"/>
        <v>158</v>
      </c>
      <c r="B159" s="75">
        <v>46087</v>
      </c>
      <c r="C159" s="63" t="s">
        <v>1268</v>
      </c>
      <c r="D159" s="63" t="s">
        <v>39</v>
      </c>
      <c r="E159" s="101">
        <v>0.65</v>
      </c>
      <c r="F159" s="64" t="str">
        <f>VLOOKUP(G159,'Vehicle List'!A:C,3,0)</f>
        <v>Kongunadu Roadlines</v>
      </c>
      <c r="G159" s="29" t="s">
        <v>55</v>
      </c>
      <c r="H159" s="29" t="s">
        <v>1456</v>
      </c>
      <c r="I159" s="29" t="s">
        <v>1457</v>
      </c>
      <c r="J159" s="64" t="str">
        <f>VLOOKUP(G159,'Vehicle List'!A:D,4,0)</f>
        <v>Ennore</v>
      </c>
      <c r="K159" s="64" t="s">
        <v>26</v>
      </c>
      <c r="L159" s="64" t="s">
        <v>19</v>
      </c>
      <c r="M159" s="64" t="s">
        <v>20</v>
      </c>
      <c r="N159" s="101">
        <v>0.69861111111111107</v>
      </c>
      <c r="O159" s="29" t="s">
        <v>1085</v>
      </c>
      <c r="P159" s="29" t="s">
        <v>21</v>
      </c>
    </row>
    <row r="160" spans="1:16">
      <c r="A160" s="29">
        <f t="shared" si="2"/>
        <v>159</v>
      </c>
      <c r="B160" s="75">
        <v>46087</v>
      </c>
      <c r="C160" s="63" t="s">
        <v>1268</v>
      </c>
      <c r="D160" s="63" t="s">
        <v>39</v>
      </c>
      <c r="E160" s="101">
        <v>0.7729166666666667</v>
      </c>
      <c r="F160" s="64" t="str">
        <f>VLOOKUP(G160,'Vehicle List'!A:C,3,0)</f>
        <v>Kongunadu Roadlines</v>
      </c>
      <c r="G160" s="29" t="s">
        <v>372</v>
      </c>
      <c r="H160" s="29" t="s">
        <v>1229</v>
      </c>
      <c r="I160" s="29" t="s">
        <v>1230</v>
      </c>
      <c r="J160" s="64" t="str">
        <f>VLOOKUP(G160,'Vehicle List'!A:D,4,0)</f>
        <v>Chittoor</v>
      </c>
      <c r="K160" s="64" t="s">
        <v>29</v>
      </c>
      <c r="L160" s="64" t="s">
        <v>19</v>
      </c>
      <c r="M160" s="64" t="s">
        <v>19</v>
      </c>
      <c r="N160" s="101">
        <v>0.7729166666666667</v>
      </c>
      <c r="O160" s="29" t="s">
        <v>1224</v>
      </c>
      <c r="P160" s="29" t="s">
        <v>30</v>
      </c>
    </row>
    <row r="161" spans="1:16">
      <c r="A161" s="29">
        <f t="shared" si="2"/>
        <v>160</v>
      </c>
      <c r="B161" s="75">
        <v>46087</v>
      </c>
      <c r="C161" s="63" t="s">
        <v>1268</v>
      </c>
      <c r="D161" s="63" t="s">
        <v>39</v>
      </c>
      <c r="E161" s="101">
        <v>0.77430555555555558</v>
      </c>
      <c r="F161" s="64" t="str">
        <f>VLOOKUP(G161,'Vehicle List'!A:C,3,0)</f>
        <v>Sritransways Logistics</v>
      </c>
      <c r="G161" s="29" t="s">
        <v>86</v>
      </c>
      <c r="H161" s="29" t="s">
        <v>1429</v>
      </c>
      <c r="I161" s="29" t="s">
        <v>1430</v>
      </c>
      <c r="J161" s="64" t="str">
        <f>VLOOKUP(G161,'Vehicle List'!A:D,4,0)</f>
        <v>AKT</v>
      </c>
      <c r="K161" s="64" t="s">
        <v>29</v>
      </c>
      <c r="L161" s="64" t="s">
        <v>19</v>
      </c>
      <c r="M161" s="64" t="s">
        <v>19</v>
      </c>
      <c r="N161" s="101">
        <v>0.77430555555555558</v>
      </c>
      <c r="O161" s="29" t="s">
        <v>1225</v>
      </c>
      <c r="P161" s="29" t="s">
        <v>30</v>
      </c>
    </row>
    <row r="162" spans="1:16">
      <c r="A162" s="29">
        <f t="shared" si="2"/>
        <v>161</v>
      </c>
      <c r="B162" s="75">
        <v>46087</v>
      </c>
      <c r="C162" s="63" t="s">
        <v>1268</v>
      </c>
      <c r="D162" s="63" t="s">
        <v>39</v>
      </c>
      <c r="E162" s="101">
        <v>0.80069444444444449</v>
      </c>
      <c r="F162" s="64" t="str">
        <f>VLOOKUP(G162,'Vehicle List'!A:C,3,0)</f>
        <v>Expo Trans India Limited</v>
      </c>
      <c r="G162" s="29" t="s">
        <v>342</v>
      </c>
      <c r="H162" s="29" t="s">
        <v>1395</v>
      </c>
      <c r="I162" s="29" t="s">
        <v>1396</v>
      </c>
      <c r="J162" s="64" t="str">
        <f>VLOOKUP(G162,'Vehicle List'!A:D,4,0)</f>
        <v>Nellore</v>
      </c>
      <c r="K162" s="64" t="s">
        <v>29</v>
      </c>
      <c r="L162" s="64" t="s">
        <v>19</v>
      </c>
      <c r="M162" s="64" t="s">
        <v>19</v>
      </c>
      <c r="N162" s="101">
        <v>0.80069444444444449</v>
      </c>
      <c r="O162" s="29" t="s">
        <v>1271</v>
      </c>
      <c r="P162" s="29" t="s">
        <v>21</v>
      </c>
    </row>
    <row r="163" spans="1:16">
      <c r="A163" s="29">
        <f t="shared" si="2"/>
        <v>162</v>
      </c>
      <c r="B163" s="75">
        <v>46087</v>
      </c>
      <c r="C163" s="63" t="s">
        <v>1268</v>
      </c>
      <c r="D163" s="63" t="s">
        <v>39</v>
      </c>
      <c r="E163" s="101">
        <v>0.86527777777777781</v>
      </c>
      <c r="F163" s="64" t="str">
        <f>VLOOKUP(G163,'Vehicle List'!A:C,3,0)</f>
        <v>Expo Trans India Limited</v>
      </c>
      <c r="G163" s="29" t="s">
        <v>1128</v>
      </c>
      <c r="H163" s="29" t="s">
        <v>1418</v>
      </c>
      <c r="I163" s="29" t="s">
        <v>1419</v>
      </c>
      <c r="J163" s="64" t="str">
        <f>VLOOKUP(G163,'Vehicle List'!A:D,4,0)</f>
        <v>Kochi</v>
      </c>
      <c r="K163" s="64" t="s">
        <v>29</v>
      </c>
      <c r="L163" s="64" t="s">
        <v>19</v>
      </c>
      <c r="M163" s="64" t="s">
        <v>19</v>
      </c>
      <c r="N163" s="101">
        <v>0.86527777777777781</v>
      </c>
      <c r="O163" s="29" t="s">
        <v>1224</v>
      </c>
      <c r="P163" s="29" t="s">
        <v>21</v>
      </c>
    </row>
    <row r="164" spans="1:16">
      <c r="A164" s="29">
        <f t="shared" si="2"/>
        <v>163</v>
      </c>
      <c r="B164" s="75">
        <v>46087</v>
      </c>
      <c r="C164" s="63" t="s">
        <v>1268</v>
      </c>
      <c r="D164" s="63" t="s">
        <v>39</v>
      </c>
      <c r="E164" s="101">
        <v>0.88263888888888886</v>
      </c>
      <c r="F164" s="64" t="str">
        <f>VLOOKUP(G164,'Vehicle List'!A:C,3,0)</f>
        <v>Rahul Roadlines</v>
      </c>
      <c r="G164" s="29" t="s">
        <v>631</v>
      </c>
      <c r="H164" s="29" t="s">
        <v>1461</v>
      </c>
      <c r="I164" s="29" t="s">
        <v>1462</v>
      </c>
      <c r="J164" s="64" t="str">
        <f>VLOOKUP(G164,'Vehicle List'!A:D,4,0)</f>
        <v>Dahej</v>
      </c>
      <c r="K164" s="64" t="s">
        <v>29</v>
      </c>
      <c r="L164" s="64" t="s">
        <v>19</v>
      </c>
      <c r="M164" s="64" t="s">
        <v>19</v>
      </c>
      <c r="N164" s="101">
        <v>0.88263888888888886</v>
      </c>
      <c r="O164" s="29" t="s">
        <v>1463</v>
      </c>
      <c r="P164" s="29" t="s">
        <v>30</v>
      </c>
    </row>
    <row r="165" spans="1:16">
      <c r="A165" s="29">
        <f t="shared" si="2"/>
        <v>164</v>
      </c>
      <c r="B165" s="75">
        <v>46087</v>
      </c>
      <c r="C165" s="63" t="s">
        <v>85</v>
      </c>
      <c r="D165" s="63" t="s">
        <v>16</v>
      </c>
      <c r="E165" s="101">
        <v>0.96597222222222223</v>
      </c>
      <c r="F165" s="64" t="str">
        <f>VLOOKUP(G165,'Vehicle List'!A:C,3,0)</f>
        <v>Anmol Transport</v>
      </c>
      <c r="G165" s="29" t="s">
        <v>552</v>
      </c>
      <c r="H165" s="29" t="s">
        <v>1472</v>
      </c>
      <c r="I165" s="29" t="s">
        <v>1209</v>
      </c>
      <c r="J165" s="64" t="str">
        <f>VLOOKUP(G165,'Vehicle List'!A:D,4,0)</f>
        <v>Jalandhar</v>
      </c>
      <c r="K165" s="64" t="s">
        <v>29</v>
      </c>
      <c r="L165" s="64" t="s">
        <v>19</v>
      </c>
      <c r="M165" s="64" t="s">
        <v>19</v>
      </c>
      <c r="N165" s="101">
        <v>0.96597222222222223</v>
      </c>
      <c r="O165" s="29" t="s">
        <v>1260</v>
      </c>
      <c r="P165" s="29" t="s">
        <v>30</v>
      </c>
    </row>
    <row r="166" spans="1:16">
      <c r="A166" s="29">
        <f t="shared" si="2"/>
        <v>165</v>
      </c>
      <c r="B166" s="75">
        <v>46087</v>
      </c>
      <c r="C166" s="63" t="s">
        <v>85</v>
      </c>
      <c r="D166" s="63" t="s">
        <v>16</v>
      </c>
      <c r="E166" s="101">
        <v>0.97986111111111107</v>
      </c>
      <c r="F166" s="64" t="str">
        <f>VLOOKUP(G166,'Vehicle List'!A:C,3,0)</f>
        <v>Expo Trans India Limited</v>
      </c>
      <c r="G166" s="29" t="s">
        <v>87</v>
      </c>
      <c r="H166" s="29" t="s">
        <v>1466</v>
      </c>
      <c r="I166" s="29" t="s">
        <v>1467</v>
      </c>
      <c r="J166" s="64" t="str">
        <f>VLOOKUP(G166,'Vehicle List'!A:D,4,0)</f>
        <v>ANK</v>
      </c>
      <c r="K166" s="64" t="s">
        <v>1171</v>
      </c>
      <c r="L166" s="64" t="s">
        <v>19</v>
      </c>
      <c r="M166" s="64" t="s">
        <v>20</v>
      </c>
      <c r="N166" s="101">
        <v>2.1527777777777778E-2</v>
      </c>
      <c r="O166" s="29" t="s">
        <v>1351</v>
      </c>
      <c r="P166" s="29" t="s">
        <v>21</v>
      </c>
    </row>
    <row r="167" spans="1:16">
      <c r="A167" s="29">
        <f t="shared" si="2"/>
        <v>166</v>
      </c>
      <c r="B167" s="75">
        <v>46088</v>
      </c>
      <c r="C167" s="63" t="s">
        <v>85</v>
      </c>
      <c r="D167" s="63" t="s">
        <v>16</v>
      </c>
      <c r="E167" s="101">
        <v>2.7777777777777779E-3</v>
      </c>
      <c r="F167" s="64" t="str">
        <f>VLOOKUP(G167,'Vehicle List'!A:C,3,0)</f>
        <v>Rahul Roadlines</v>
      </c>
      <c r="G167" s="29" t="s">
        <v>1105</v>
      </c>
      <c r="H167" s="29" t="s">
        <v>1468</v>
      </c>
      <c r="I167" s="29" t="s">
        <v>1469</v>
      </c>
      <c r="J167" s="64" t="str">
        <f>VLOOKUP(G167,'Vehicle List'!A:D,4,0)</f>
        <v>Bhopal</v>
      </c>
      <c r="K167" s="64" t="s">
        <v>1171</v>
      </c>
      <c r="L167" s="64" t="s">
        <v>19</v>
      </c>
      <c r="M167" s="64" t="s">
        <v>20</v>
      </c>
      <c r="N167" s="101">
        <v>2.4305555555555556E-2</v>
      </c>
      <c r="O167" s="29" t="s">
        <v>1096</v>
      </c>
      <c r="P167" s="29" t="s">
        <v>21</v>
      </c>
    </row>
    <row r="168" spans="1:16">
      <c r="A168" s="29">
        <f t="shared" si="2"/>
        <v>167</v>
      </c>
      <c r="B168" s="75">
        <v>46088</v>
      </c>
      <c r="C168" s="63" t="s">
        <v>85</v>
      </c>
      <c r="D168" s="63" t="s">
        <v>16</v>
      </c>
      <c r="E168" s="101">
        <v>4.1666666666666666E-3</v>
      </c>
      <c r="F168" s="64" t="str">
        <f>VLOOKUP(G168,'Vehicle List'!A:C,3,0)</f>
        <v>Kongunadu Roadlines</v>
      </c>
      <c r="G168" s="29" t="s">
        <v>598</v>
      </c>
      <c r="H168" s="29" t="s">
        <v>1470</v>
      </c>
      <c r="I168" s="29" t="s">
        <v>1471</v>
      </c>
      <c r="J168" s="64" t="str">
        <f>VLOOKUP(G168,'Vehicle List'!A:D,4,0)</f>
        <v>Ennore</v>
      </c>
      <c r="K168" s="64" t="s">
        <v>24</v>
      </c>
      <c r="L168" s="64" t="s">
        <v>19</v>
      </c>
      <c r="M168" s="64" t="s">
        <v>20</v>
      </c>
      <c r="N168" s="101">
        <v>3.6805555555555557E-2</v>
      </c>
      <c r="O168" s="29" t="s">
        <v>1085</v>
      </c>
      <c r="P168" s="29" t="s">
        <v>21</v>
      </c>
    </row>
    <row r="169" spans="1:16">
      <c r="A169" s="29">
        <f t="shared" si="2"/>
        <v>168</v>
      </c>
      <c r="B169" s="75">
        <v>46088</v>
      </c>
      <c r="C169" s="63" t="s">
        <v>85</v>
      </c>
      <c r="D169" s="63" t="s">
        <v>16</v>
      </c>
      <c r="E169" s="101">
        <v>0.10069444444444445</v>
      </c>
      <c r="F169" s="64" t="str">
        <f>VLOOKUP(G169,'Vehicle List'!A:C,3,0)</f>
        <v>Sritransways Logistics</v>
      </c>
      <c r="G169" s="29" t="s">
        <v>33</v>
      </c>
      <c r="H169" s="29" t="s">
        <v>1465</v>
      </c>
      <c r="I169" s="29" t="s">
        <v>1355</v>
      </c>
      <c r="J169" s="64" t="str">
        <f>VLOOKUP(G169,'Vehicle List'!A:D,4,0)</f>
        <v>AKT</v>
      </c>
      <c r="K169" s="64" t="s">
        <v>24</v>
      </c>
      <c r="L169" s="64" t="s">
        <v>19</v>
      </c>
      <c r="M169" s="64" t="s">
        <v>20</v>
      </c>
      <c r="N169" s="101">
        <v>0.12708333333333333</v>
      </c>
      <c r="O169" s="29" t="s">
        <v>1227</v>
      </c>
      <c r="P169" s="29" t="s">
        <v>21</v>
      </c>
    </row>
    <row r="170" spans="1:16">
      <c r="A170" s="29">
        <f t="shared" si="2"/>
        <v>169</v>
      </c>
      <c r="B170" s="75">
        <v>46088</v>
      </c>
      <c r="C170" s="63" t="s">
        <v>1123</v>
      </c>
      <c r="D170" s="63" t="s">
        <v>28</v>
      </c>
      <c r="E170" s="101">
        <v>0.25972222222222224</v>
      </c>
      <c r="F170" s="64" t="str">
        <f>VLOOKUP(G170,'Vehicle List'!A:C,3,0)</f>
        <v>Green Planet</v>
      </c>
      <c r="G170" s="29" t="s">
        <v>627</v>
      </c>
      <c r="H170" s="29" t="s">
        <v>1476</v>
      </c>
      <c r="I170" s="29" t="s">
        <v>1428</v>
      </c>
      <c r="J170" s="64" t="str">
        <f>VLOOKUP(G170,'Vehicle List'!A:D,4,0)</f>
        <v>Kochi</v>
      </c>
      <c r="K170" s="64" t="s">
        <v>29</v>
      </c>
      <c r="L170" s="64" t="s">
        <v>19</v>
      </c>
      <c r="M170" s="64" t="s">
        <v>19</v>
      </c>
      <c r="N170" s="101">
        <v>0.26944444444444443</v>
      </c>
      <c r="O170" s="29" t="s">
        <v>1226</v>
      </c>
      <c r="P170" s="29" t="s">
        <v>21</v>
      </c>
    </row>
    <row r="171" spans="1:16">
      <c r="A171" s="29">
        <f t="shared" si="2"/>
        <v>170</v>
      </c>
      <c r="B171" s="75">
        <v>46088</v>
      </c>
      <c r="C171" s="63" t="s">
        <v>1123</v>
      </c>
      <c r="D171" s="63" t="s">
        <v>28</v>
      </c>
      <c r="E171" s="101">
        <v>0.30069444444444443</v>
      </c>
      <c r="F171" s="64" t="str">
        <f>VLOOKUP(G171,'Vehicle List'!A:C,3,0)</f>
        <v>Kongunadu Roadlines</v>
      </c>
      <c r="G171" s="29" t="s">
        <v>22</v>
      </c>
      <c r="H171" s="29" t="s">
        <v>1478</v>
      </c>
      <c r="I171" s="29" t="s">
        <v>1477</v>
      </c>
      <c r="J171" s="64" t="str">
        <f>VLOOKUP(G171,'Vehicle List'!A:D,4,0)</f>
        <v>Dahej</v>
      </c>
      <c r="K171" s="64" t="s">
        <v>29</v>
      </c>
      <c r="L171" s="64" t="s">
        <v>19</v>
      </c>
      <c r="M171" s="64" t="s">
        <v>19</v>
      </c>
      <c r="N171" s="101">
        <v>0.30694444444444446</v>
      </c>
      <c r="O171" s="29" t="s">
        <v>1182</v>
      </c>
      <c r="P171" s="29" t="s">
        <v>30</v>
      </c>
    </row>
    <row r="172" spans="1:16">
      <c r="A172" s="29">
        <f t="shared" si="2"/>
        <v>171</v>
      </c>
      <c r="B172" s="75">
        <v>46088</v>
      </c>
      <c r="C172" s="63" t="s">
        <v>1123</v>
      </c>
      <c r="D172" s="63" t="s">
        <v>28</v>
      </c>
      <c r="E172" s="101">
        <v>0.33333333333333331</v>
      </c>
      <c r="F172" s="64" t="str">
        <f>VLOOKUP(G172,'Vehicle List'!A:C,3,0)</f>
        <v>Gas Point</v>
      </c>
      <c r="G172" s="29" t="s">
        <v>499</v>
      </c>
      <c r="H172" s="29" t="s">
        <v>1480</v>
      </c>
      <c r="I172" s="29" t="s">
        <v>1479</v>
      </c>
      <c r="J172" s="64" t="str">
        <f>VLOOKUP(G172,'Vehicle List'!A:D,4,0)</f>
        <v>Bhopal</v>
      </c>
      <c r="K172" s="64" t="s">
        <v>29</v>
      </c>
      <c r="L172" s="64" t="s">
        <v>19</v>
      </c>
      <c r="M172" s="64" t="s">
        <v>19</v>
      </c>
      <c r="N172" s="101">
        <v>0.33680555555555558</v>
      </c>
      <c r="O172" s="29" t="s">
        <v>1315</v>
      </c>
      <c r="P172" s="29" t="s">
        <v>30</v>
      </c>
    </row>
    <row r="173" spans="1:16">
      <c r="A173" s="29">
        <f t="shared" si="2"/>
        <v>172</v>
      </c>
      <c r="B173" s="75">
        <v>46088</v>
      </c>
      <c r="C173" s="63" t="s">
        <v>1123</v>
      </c>
      <c r="D173" s="63" t="s">
        <v>28</v>
      </c>
      <c r="E173" s="101">
        <v>0.33541666666666664</v>
      </c>
      <c r="F173" s="64" t="str">
        <f>VLOOKUP(G173,'Vehicle List'!A:C,3,0)</f>
        <v>Rahul Roadlines</v>
      </c>
      <c r="G173" s="29" t="s">
        <v>447</v>
      </c>
      <c r="H173" s="29" t="s">
        <v>1481</v>
      </c>
      <c r="I173" s="29" t="s">
        <v>1482</v>
      </c>
      <c r="J173" s="64" t="str">
        <f>VLOOKUP(G173,'Vehicle List'!A:D,4,0)</f>
        <v>ANK</v>
      </c>
      <c r="K173" s="64" t="s">
        <v>1174</v>
      </c>
      <c r="L173" s="64" t="s">
        <v>19</v>
      </c>
      <c r="M173" s="64" t="s">
        <v>20</v>
      </c>
      <c r="N173" s="101">
        <v>0.35486111111111113</v>
      </c>
      <c r="O173" s="29" t="s">
        <v>1351</v>
      </c>
      <c r="P173" s="29" t="s">
        <v>21</v>
      </c>
    </row>
    <row r="174" spans="1:16">
      <c r="A174" s="29">
        <f t="shared" si="2"/>
        <v>173</v>
      </c>
      <c r="B174" s="75">
        <v>46088</v>
      </c>
      <c r="C174" s="63" t="s">
        <v>1123</v>
      </c>
      <c r="D174" s="63" t="s">
        <v>28</v>
      </c>
      <c r="E174" s="101">
        <v>0.41875000000000001</v>
      </c>
      <c r="F174" s="64" t="str">
        <f>VLOOKUP(G174,'Vehicle List'!A:C,3,0)</f>
        <v>Rahul Roadlines</v>
      </c>
      <c r="G174" s="29" t="s">
        <v>1138</v>
      </c>
      <c r="H174" s="29" t="s">
        <v>1483</v>
      </c>
      <c r="I174" s="29" t="s">
        <v>1421</v>
      </c>
      <c r="J174" s="64" t="str">
        <f>VLOOKUP(G174,'Vehicle List'!A:D,4,0)</f>
        <v>Bhopal</v>
      </c>
      <c r="K174" s="64" t="s">
        <v>29</v>
      </c>
      <c r="L174" s="64" t="s">
        <v>19</v>
      </c>
      <c r="M174" s="64" t="s">
        <v>19</v>
      </c>
      <c r="N174" s="101">
        <v>0.42777777777777776</v>
      </c>
      <c r="O174" s="29" t="s">
        <v>1474</v>
      </c>
      <c r="P174" s="29" t="s">
        <v>30</v>
      </c>
    </row>
    <row r="175" spans="1:16">
      <c r="A175" s="29">
        <f t="shared" si="2"/>
        <v>174</v>
      </c>
      <c r="B175" s="75">
        <v>46088</v>
      </c>
      <c r="C175" s="63" t="s">
        <v>1123</v>
      </c>
      <c r="D175" s="63" t="s">
        <v>28</v>
      </c>
      <c r="E175" s="101">
        <v>0.43263888888888891</v>
      </c>
      <c r="F175" s="64" t="str">
        <f>VLOOKUP(G175,'Vehicle List'!A:C,3,0)</f>
        <v>Velan Gogreen Logistics Pvt Ltd</v>
      </c>
      <c r="G175" s="29" t="s">
        <v>34</v>
      </c>
      <c r="H175" s="29" t="s">
        <v>1257</v>
      </c>
      <c r="I175" s="29" t="s">
        <v>1256</v>
      </c>
      <c r="J175" s="64" t="str">
        <f>VLOOKUP(G175,'Vehicle List'!A:D,4,0)</f>
        <v>KNCP</v>
      </c>
      <c r="K175" s="64" t="s">
        <v>29</v>
      </c>
      <c r="L175" s="64" t="s">
        <v>19</v>
      </c>
      <c r="M175" s="64" t="s">
        <v>19</v>
      </c>
      <c r="N175" s="101">
        <v>0.43541666666666667</v>
      </c>
      <c r="O175" s="29" t="s">
        <v>1475</v>
      </c>
      <c r="P175" s="29" t="s">
        <v>30</v>
      </c>
    </row>
    <row r="176" spans="1:16">
      <c r="A176" s="29">
        <f t="shared" si="2"/>
        <v>175</v>
      </c>
      <c r="B176" s="75">
        <v>46088</v>
      </c>
      <c r="C176" s="63" t="s">
        <v>1123</v>
      </c>
      <c r="D176" s="63" t="s">
        <v>28</v>
      </c>
      <c r="E176" s="101">
        <v>0.43055555555555558</v>
      </c>
      <c r="F176" s="64" t="str">
        <f>VLOOKUP(G176,'Vehicle List'!A:C,3,0)</f>
        <v>Expo Trans India Limited</v>
      </c>
      <c r="G176" s="29" t="s">
        <v>304</v>
      </c>
      <c r="H176" s="29" t="s">
        <v>1485</v>
      </c>
      <c r="I176" s="29" t="s">
        <v>1484</v>
      </c>
      <c r="J176" s="64" t="str">
        <f>VLOOKUP(G176,'Vehicle List'!A:D,4,0)</f>
        <v>ANK</v>
      </c>
      <c r="K176" s="64" t="s">
        <v>29</v>
      </c>
      <c r="L176" s="64" t="s">
        <v>19</v>
      </c>
      <c r="M176" s="64" t="s">
        <v>19</v>
      </c>
      <c r="N176" s="101">
        <v>0.44097222222222221</v>
      </c>
      <c r="O176" s="29" t="s">
        <v>1248</v>
      </c>
      <c r="P176" s="29" t="s">
        <v>30</v>
      </c>
    </row>
    <row r="177" spans="1:16">
      <c r="A177" s="29">
        <f t="shared" si="2"/>
        <v>176</v>
      </c>
      <c r="B177" s="75">
        <v>46088</v>
      </c>
      <c r="C177" s="63" t="s">
        <v>1123</v>
      </c>
      <c r="D177" s="63" t="s">
        <v>28</v>
      </c>
      <c r="E177" s="101">
        <v>0.47916666666666669</v>
      </c>
      <c r="F177" s="64" t="str">
        <f>VLOOKUP(G177,'Vehicle List'!A:C,3,0)</f>
        <v>Rahul Roadlines</v>
      </c>
      <c r="G177" s="29" t="s">
        <v>1149</v>
      </c>
      <c r="H177" s="29" t="s">
        <v>1487</v>
      </c>
      <c r="I177" s="29" t="s">
        <v>1486</v>
      </c>
      <c r="J177" s="64" t="str">
        <f>VLOOKUP(G177,'Vehicle List'!A:D,4,0)</f>
        <v>Bhopal</v>
      </c>
      <c r="K177" s="64" t="s">
        <v>29</v>
      </c>
      <c r="L177" s="64" t="s">
        <v>19</v>
      </c>
      <c r="M177" s="64" t="s">
        <v>19</v>
      </c>
      <c r="N177" s="101">
        <v>0.4861111111111111</v>
      </c>
      <c r="O177" s="29" t="s">
        <v>1474</v>
      </c>
      <c r="P177" s="29" t="s">
        <v>30</v>
      </c>
    </row>
    <row r="178" spans="1:16">
      <c r="A178" s="29">
        <f t="shared" si="2"/>
        <v>177</v>
      </c>
      <c r="B178" s="75">
        <v>46088</v>
      </c>
      <c r="C178" s="63" t="s">
        <v>1123</v>
      </c>
      <c r="D178" s="63" t="s">
        <v>28</v>
      </c>
      <c r="E178" s="101">
        <v>0.47916666666666669</v>
      </c>
      <c r="F178" s="64" t="str">
        <f>VLOOKUP(G178,'Vehicle List'!A:C,3,0)</f>
        <v>Rahul Roadlines</v>
      </c>
      <c r="G178" s="29" t="s">
        <v>1149</v>
      </c>
      <c r="H178" s="29" t="s">
        <v>1487</v>
      </c>
      <c r="I178" s="29" t="s">
        <v>1486</v>
      </c>
      <c r="J178" s="64" t="str">
        <f>VLOOKUP(G178,'Vehicle List'!A:D,4,0)</f>
        <v>Bhopal</v>
      </c>
      <c r="K178" s="64" t="s">
        <v>29</v>
      </c>
      <c r="L178" s="64" t="s">
        <v>19</v>
      </c>
      <c r="M178" s="64" t="s">
        <v>19</v>
      </c>
      <c r="N178" s="101">
        <v>0.4861111111111111</v>
      </c>
      <c r="O178" s="29" t="s">
        <v>1315</v>
      </c>
      <c r="P178" s="29" t="s">
        <v>30</v>
      </c>
    </row>
    <row r="179" spans="1:16">
      <c r="A179" s="29">
        <f t="shared" si="2"/>
        <v>178</v>
      </c>
      <c r="B179" s="75">
        <v>46088</v>
      </c>
      <c r="C179" s="63" t="s">
        <v>85</v>
      </c>
      <c r="D179" s="63" t="s">
        <v>39</v>
      </c>
      <c r="E179" s="101">
        <v>0.64166666666666672</v>
      </c>
      <c r="F179" s="64" t="str">
        <f>VLOOKUP(G179,'Vehicle List'!A:C,3,0)</f>
        <v>Kongunadu Roadlines</v>
      </c>
      <c r="G179" s="29" t="s">
        <v>589</v>
      </c>
      <c r="H179" s="29" t="s">
        <v>1491</v>
      </c>
      <c r="I179" s="29" t="s">
        <v>1492</v>
      </c>
      <c r="J179" s="64" t="str">
        <f>VLOOKUP(G179,'Vehicle List'!A:D,4,0)</f>
        <v>Dahej</v>
      </c>
      <c r="K179" s="64" t="s">
        <v>29</v>
      </c>
      <c r="L179" s="64" t="s">
        <v>19</v>
      </c>
      <c r="M179" s="64" t="s">
        <v>19</v>
      </c>
      <c r="N179" s="101">
        <v>0.64166666666666672</v>
      </c>
      <c r="O179" s="29" t="s">
        <v>1315</v>
      </c>
      <c r="P179" s="29" t="s">
        <v>30</v>
      </c>
    </row>
    <row r="180" spans="1:16">
      <c r="A180" s="29">
        <f t="shared" si="2"/>
        <v>179</v>
      </c>
      <c r="B180" s="75">
        <v>46088</v>
      </c>
      <c r="C180" s="63" t="s">
        <v>85</v>
      </c>
      <c r="D180" s="63" t="s">
        <v>39</v>
      </c>
      <c r="E180" s="101">
        <v>0.64583333333333337</v>
      </c>
      <c r="F180" s="64" t="str">
        <f>VLOOKUP(G180,'Vehicle List'!A:C,3,0)</f>
        <v>Expo Trans India Limited</v>
      </c>
      <c r="G180" s="29" t="s">
        <v>287</v>
      </c>
      <c r="H180" s="29" t="s">
        <v>1493</v>
      </c>
      <c r="I180" s="29" t="s">
        <v>1188</v>
      </c>
      <c r="J180" s="64" t="str">
        <f>VLOOKUP(G180,'Vehicle List'!A:D,4,0)</f>
        <v>Kolar</v>
      </c>
      <c r="K180" s="64" t="s">
        <v>29</v>
      </c>
      <c r="L180" s="64" t="s">
        <v>19</v>
      </c>
      <c r="M180" s="64" t="s">
        <v>19</v>
      </c>
      <c r="N180" s="101">
        <v>0.64583333333333337</v>
      </c>
      <c r="O180" s="29" t="s">
        <v>1189</v>
      </c>
      <c r="P180" s="29" t="s">
        <v>30</v>
      </c>
    </row>
    <row r="181" spans="1:16">
      <c r="A181" s="29">
        <f t="shared" si="2"/>
        <v>180</v>
      </c>
      <c r="B181" s="75">
        <v>46088</v>
      </c>
      <c r="C181" s="63" t="s">
        <v>85</v>
      </c>
      <c r="D181" s="63" t="s">
        <v>39</v>
      </c>
      <c r="E181" s="101">
        <v>0.67083333333333328</v>
      </c>
      <c r="F181" s="64" t="str">
        <f>VLOOKUP(G181,'Vehicle List'!A:C,3,0)</f>
        <v>Kongunadu Roadlines</v>
      </c>
      <c r="G181" s="29" t="s">
        <v>390</v>
      </c>
      <c r="H181" s="29" t="s">
        <v>1494</v>
      </c>
      <c r="I181" s="29" t="s">
        <v>1495</v>
      </c>
      <c r="J181" s="64" t="str">
        <f>VLOOKUP(G181,'Vehicle List'!A:D,4,0)</f>
        <v>KNV</v>
      </c>
      <c r="K181" s="64" t="s">
        <v>29</v>
      </c>
      <c r="L181" s="64" t="s">
        <v>19</v>
      </c>
      <c r="M181" s="64" t="s">
        <v>19</v>
      </c>
      <c r="N181" s="101">
        <v>0.67083333333333328</v>
      </c>
      <c r="O181" s="29" t="s">
        <v>1224</v>
      </c>
      <c r="P181" s="29" t="s">
        <v>30</v>
      </c>
    </row>
    <row r="182" spans="1:16">
      <c r="A182" s="29">
        <f t="shared" si="2"/>
        <v>181</v>
      </c>
      <c r="B182" s="75">
        <v>46088</v>
      </c>
      <c r="C182" s="63" t="s">
        <v>85</v>
      </c>
      <c r="D182" s="63" t="s">
        <v>39</v>
      </c>
      <c r="E182" s="101">
        <v>0.68819444444444444</v>
      </c>
      <c r="F182" s="64" t="str">
        <f>VLOOKUP(G182,'Vehicle List'!A:C,3,0)</f>
        <v>Velan Gogreen Logistics Pvt Ltd</v>
      </c>
      <c r="G182" s="29" t="s">
        <v>432</v>
      </c>
      <c r="H182" s="29" t="s">
        <v>1496</v>
      </c>
      <c r="I182" s="29" t="s">
        <v>1497</v>
      </c>
      <c r="J182" s="64" t="str">
        <f>VLOOKUP(G182,'Vehicle List'!A:D,4,0)</f>
        <v>KNCP</v>
      </c>
      <c r="K182" s="64" t="s">
        <v>29</v>
      </c>
      <c r="L182" s="64" t="s">
        <v>19</v>
      </c>
      <c r="M182" s="64" t="s">
        <v>19</v>
      </c>
      <c r="N182" s="101">
        <v>0.68819444444444444</v>
      </c>
      <c r="O182" s="29" t="s">
        <v>1490</v>
      </c>
      <c r="P182" s="29" t="s">
        <v>30</v>
      </c>
    </row>
    <row r="183" spans="1:16">
      <c r="A183" s="29">
        <f t="shared" si="2"/>
        <v>182</v>
      </c>
      <c r="B183" s="75">
        <v>46088</v>
      </c>
      <c r="C183" s="63" t="s">
        <v>85</v>
      </c>
      <c r="D183" s="63" t="s">
        <v>39</v>
      </c>
      <c r="E183" s="101">
        <v>0.73541666666666672</v>
      </c>
      <c r="F183" s="64" t="str">
        <f>VLOOKUP(G183,'Vehicle List'!A:C,3,0)</f>
        <v>Sritransways Logistics</v>
      </c>
      <c r="G183" s="29" t="s">
        <v>383</v>
      </c>
      <c r="H183" s="29" t="s">
        <v>1429</v>
      </c>
      <c r="I183" s="29" t="s">
        <v>1498</v>
      </c>
      <c r="J183" s="64" t="str">
        <f>VLOOKUP(G183,'Vehicle List'!A:D,4,0)</f>
        <v>AKT</v>
      </c>
      <c r="K183" s="64" t="s">
        <v>29</v>
      </c>
      <c r="L183" s="64" t="s">
        <v>19</v>
      </c>
      <c r="M183" s="64" t="s">
        <v>19</v>
      </c>
      <c r="N183" s="101">
        <v>0.73541666666666672</v>
      </c>
      <c r="O183" s="29" t="s">
        <v>1224</v>
      </c>
      <c r="P183" s="29" t="s">
        <v>30</v>
      </c>
    </row>
    <row r="184" spans="1:16">
      <c r="A184" s="29">
        <f t="shared" si="2"/>
        <v>183</v>
      </c>
      <c r="B184" s="75">
        <v>46088</v>
      </c>
      <c r="C184" s="63" t="s">
        <v>85</v>
      </c>
      <c r="D184" s="63" t="s">
        <v>39</v>
      </c>
      <c r="E184" s="101">
        <v>0.77500000000000002</v>
      </c>
      <c r="F184" s="64" t="str">
        <f>VLOOKUP(G184,'Vehicle List'!A:C,3,0)</f>
        <v>Rahul Roadlines</v>
      </c>
      <c r="G184" s="29" t="s">
        <v>77</v>
      </c>
      <c r="H184" s="29" t="s">
        <v>1499</v>
      </c>
      <c r="I184" s="29" t="s">
        <v>1347</v>
      </c>
      <c r="J184" s="64" t="str">
        <f>VLOOKUP(G184,'Vehicle List'!A:D,4,0)</f>
        <v>BJJ</v>
      </c>
      <c r="K184" s="64" t="s">
        <v>29</v>
      </c>
      <c r="L184" s="64" t="s">
        <v>19</v>
      </c>
      <c r="M184" s="64" t="s">
        <v>19</v>
      </c>
      <c r="N184" s="101">
        <v>0.77500000000000002</v>
      </c>
      <c r="O184" s="29" t="s">
        <v>1226</v>
      </c>
      <c r="P184" s="29" t="s">
        <v>30</v>
      </c>
    </row>
    <row r="185" spans="1:16">
      <c r="A185" s="29">
        <f t="shared" si="2"/>
        <v>184</v>
      </c>
      <c r="B185" s="75">
        <v>46088</v>
      </c>
      <c r="C185" s="63" t="s">
        <v>85</v>
      </c>
      <c r="D185" s="63" t="s">
        <v>39</v>
      </c>
      <c r="E185" s="101">
        <v>0.77083333333333337</v>
      </c>
      <c r="F185" s="64" t="str">
        <f>VLOOKUP(G185,'Vehicle List'!A:C,3,0)</f>
        <v>Expo Trans India Limited</v>
      </c>
      <c r="G185" s="29" t="s">
        <v>1113</v>
      </c>
      <c r="H185" s="29" t="s">
        <v>1500</v>
      </c>
      <c r="I185" s="29" t="s">
        <v>1501</v>
      </c>
      <c r="J185" s="64" t="str">
        <f>VLOOKUP(G185,'Vehicle List'!A:D,4,0)</f>
        <v>Kochi</v>
      </c>
      <c r="K185" s="64" t="s">
        <v>18</v>
      </c>
      <c r="L185" s="64" t="s">
        <v>19</v>
      </c>
      <c r="M185" s="64" t="s">
        <v>20</v>
      </c>
      <c r="N185" s="101">
        <v>0.79861111111111116</v>
      </c>
      <c r="O185" s="29" t="s">
        <v>1244</v>
      </c>
      <c r="P185" s="29" t="s">
        <v>21</v>
      </c>
    </row>
    <row r="186" spans="1:16">
      <c r="A186" s="29">
        <f t="shared" si="2"/>
        <v>185</v>
      </c>
      <c r="B186" s="75">
        <v>46088</v>
      </c>
      <c r="C186" s="63" t="s">
        <v>85</v>
      </c>
      <c r="D186" s="63" t="s">
        <v>39</v>
      </c>
      <c r="E186" s="101">
        <v>0.35208333333333336</v>
      </c>
      <c r="F186" s="64" t="str">
        <f>VLOOKUP(G186,'Vehicle List'!A:C,3,0)</f>
        <v>Expo Trans India Limited</v>
      </c>
      <c r="G186" s="29" t="s">
        <v>319</v>
      </c>
      <c r="H186" s="29" t="s">
        <v>1502</v>
      </c>
      <c r="I186" s="29" t="s">
        <v>1503</v>
      </c>
      <c r="J186" s="64" t="str">
        <f>VLOOKUP(G186,'Vehicle List'!A:D,4,0)</f>
        <v>Chittoor</v>
      </c>
      <c r="K186" s="64" t="s">
        <v>29</v>
      </c>
      <c r="L186" s="64" t="s">
        <v>19</v>
      </c>
      <c r="M186" s="64" t="s">
        <v>19</v>
      </c>
      <c r="N186" s="101">
        <v>0.35208333333333336</v>
      </c>
      <c r="O186" s="29" t="s">
        <v>1182</v>
      </c>
      <c r="P186" s="29" t="s">
        <v>30</v>
      </c>
    </row>
    <row r="187" spans="1:16">
      <c r="A187" s="29">
        <f t="shared" si="2"/>
        <v>186</v>
      </c>
      <c r="B187" s="75">
        <v>46088</v>
      </c>
      <c r="C187" s="63" t="s">
        <v>1268</v>
      </c>
      <c r="D187" s="63" t="s">
        <v>16</v>
      </c>
      <c r="E187" s="101">
        <v>0.94166666666666665</v>
      </c>
      <c r="F187" s="64" t="str">
        <f>VLOOKUP(G187,'Vehicle List'!A:C,3,0)</f>
        <v>Expo Trans India Limited</v>
      </c>
      <c r="G187" s="29" t="s">
        <v>40</v>
      </c>
      <c r="H187" s="29" t="s">
        <v>1229</v>
      </c>
      <c r="I187" s="29" t="s">
        <v>1230</v>
      </c>
      <c r="J187" s="64" t="str">
        <f>VLOOKUP(G187,'Vehicle List'!A:D,4,0)</f>
        <v>Chittoor</v>
      </c>
      <c r="K187" s="64" t="s">
        <v>29</v>
      </c>
      <c r="L187" s="64" t="s">
        <v>19</v>
      </c>
      <c r="M187" s="64" t="s">
        <v>19</v>
      </c>
      <c r="N187" s="101">
        <v>0.94166666666666665</v>
      </c>
      <c r="O187" s="29" t="s">
        <v>1195</v>
      </c>
      <c r="P187" s="29" t="s">
        <v>30</v>
      </c>
    </row>
    <row r="188" spans="1:16">
      <c r="A188" s="29">
        <f t="shared" si="2"/>
        <v>187</v>
      </c>
      <c r="B188" s="75">
        <v>46088</v>
      </c>
      <c r="C188" s="63" t="s">
        <v>1268</v>
      </c>
      <c r="D188" s="63" t="s">
        <v>16</v>
      </c>
      <c r="E188" s="101">
        <v>0.94236111111111109</v>
      </c>
      <c r="F188" s="64" t="str">
        <f>VLOOKUP(G188,'Vehicle List'!A:C,3,0)</f>
        <v>Kongunadu Roadlines</v>
      </c>
      <c r="G188" s="29" t="s">
        <v>314</v>
      </c>
      <c r="H188" s="29" t="s">
        <v>1186</v>
      </c>
      <c r="I188" s="29" t="s">
        <v>1185</v>
      </c>
      <c r="J188" s="64" t="str">
        <f>VLOOKUP(G188,'Vehicle List'!A:D,4,0)</f>
        <v>KNCP</v>
      </c>
      <c r="K188" s="64" t="s">
        <v>29</v>
      </c>
      <c r="L188" s="64" t="s">
        <v>19</v>
      </c>
      <c r="M188" s="64" t="s">
        <v>19</v>
      </c>
      <c r="N188" s="101">
        <v>0.94236111111111109</v>
      </c>
      <c r="O188" s="29" t="s">
        <v>1195</v>
      </c>
      <c r="P188" s="29" t="s">
        <v>30</v>
      </c>
    </row>
    <row r="189" spans="1:16">
      <c r="A189" s="29">
        <f t="shared" si="2"/>
        <v>188</v>
      </c>
      <c r="B189" s="75">
        <v>46088</v>
      </c>
      <c r="C189" s="63" t="s">
        <v>1268</v>
      </c>
      <c r="D189" s="63" t="s">
        <v>16</v>
      </c>
      <c r="E189" s="101">
        <v>0.96180555555555558</v>
      </c>
      <c r="F189" s="64" t="str">
        <f>VLOOKUP(G189,'Vehicle List'!A:C,3,0)</f>
        <v>Kongunadu Roadlines</v>
      </c>
      <c r="G189" s="29" t="s">
        <v>369</v>
      </c>
      <c r="H189" s="29" t="s">
        <v>1512</v>
      </c>
      <c r="I189" s="29" t="s">
        <v>1513</v>
      </c>
      <c r="J189" s="64" t="str">
        <f>VLOOKUP(G189,'Vehicle List'!A:D,4,0)</f>
        <v>KNCP</v>
      </c>
      <c r="K189" s="64" t="s">
        <v>29</v>
      </c>
      <c r="L189" s="64" t="s">
        <v>19</v>
      </c>
      <c r="M189" s="64" t="s">
        <v>19</v>
      </c>
      <c r="N189" s="101">
        <v>0.96180555555555558</v>
      </c>
      <c r="O189" s="29" t="s">
        <v>1182</v>
      </c>
      <c r="P189" s="29" t="s">
        <v>30</v>
      </c>
    </row>
    <row r="190" spans="1:16">
      <c r="A190" s="29">
        <f t="shared" si="2"/>
        <v>189</v>
      </c>
      <c r="B190" s="75">
        <v>46088</v>
      </c>
      <c r="C190" s="63" t="s">
        <v>1268</v>
      </c>
      <c r="D190" s="63" t="s">
        <v>16</v>
      </c>
      <c r="E190" s="101">
        <v>0.96319444444444446</v>
      </c>
      <c r="F190" s="64" t="str">
        <f>VLOOKUP(G190,'Vehicle List'!A:C,3,0)</f>
        <v>Rahul Roadlines</v>
      </c>
      <c r="G190" s="29" t="s">
        <v>1103</v>
      </c>
      <c r="H190" s="29" t="s">
        <v>1299</v>
      </c>
      <c r="I190" s="29" t="s">
        <v>1298</v>
      </c>
      <c r="J190" s="64" t="str">
        <f>VLOOKUP(G190,'Vehicle List'!A:D,4,0)</f>
        <v>Bhopal</v>
      </c>
      <c r="K190" s="64" t="s">
        <v>29</v>
      </c>
      <c r="L190" s="64" t="s">
        <v>19</v>
      </c>
      <c r="M190" s="64" t="s">
        <v>19</v>
      </c>
      <c r="N190" s="101">
        <v>0.96319444444444446</v>
      </c>
      <c r="O190" s="29" t="s">
        <v>1182</v>
      </c>
      <c r="P190" s="29" t="s">
        <v>30</v>
      </c>
    </row>
    <row r="191" spans="1:16">
      <c r="A191" s="29">
        <f t="shared" si="2"/>
        <v>190</v>
      </c>
      <c r="B191" s="75">
        <v>46088</v>
      </c>
      <c r="C191" s="63" t="s">
        <v>1268</v>
      </c>
      <c r="D191" s="63" t="s">
        <v>16</v>
      </c>
      <c r="E191" s="101">
        <v>0.96736111111111112</v>
      </c>
      <c r="F191" s="64" t="str">
        <f>VLOOKUP(G191,'Vehicle List'!A:C,3,0)</f>
        <v>Rahul Roadlines</v>
      </c>
      <c r="G191" s="29" t="s">
        <v>23</v>
      </c>
      <c r="H191" s="29" t="s">
        <v>1441</v>
      </c>
      <c r="I191" s="29" t="s">
        <v>1442</v>
      </c>
      <c r="J191" s="64" t="str">
        <f>VLOOKUP(G191,'Vehicle List'!A:D,4,0)</f>
        <v>BJJ</v>
      </c>
      <c r="K191" s="64" t="s">
        <v>29</v>
      </c>
      <c r="L191" s="64" t="s">
        <v>19</v>
      </c>
      <c r="M191" s="64" t="s">
        <v>19</v>
      </c>
      <c r="N191" s="101">
        <v>0.96736111111111112</v>
      </c>
      <c r="O191" s="29" t="s">
        <v>1511</v>
      </c>
      <c r="P191" s="29" t="s">
        <v>30</v>
      </c>
    </row>
    <row r="192" spans="1:16">
      <c r="A192" s="29">
        <f t="shared" si="2"/>
        <v>191</v>
      </c>
      <c r="B192" s="75">
        <v>46088</v>
      </c>
      <c r="C192" s="63" t="s">
        <v>1268</v>
      </c>
      <c r="D192" s="63" t="s">
        <v>16</v>
      </c>
      <c r="E192" s="101">
        <v>0.97986111111111107</v>
      </c>
      <c r="F192" s="64" t="str">
        <f>VLOOKUP(G192,'Vehicle List'!A:C,3,0)</f>
        <v>Kongunadu Roadlines</v>
      </c>
      <c r="G192" s="29" t="s">
        <v>103</v>
      </c>
      <c r="H192" s="29" t="s">
        <v>1509</v>
      </c>
      <c r="I192" s="29" t="s">
        <v>1510</v>
      </c>
      <c r="J192" s="64" t="str">
        <f>VLOOKUP(G192,'Vehicle List'!A:D,4,0)</f>
        <v>AKT</v>
      </c>
      <c r="K192" s="64" t="s">
        <v>26</v>
      </c>
      <c r="L192" s="64" t="s">
        <v>19</v>
      </c>
      <c r="M192" s="64" t="s">
        <v>20</v>
      </c>
      <c r="N192" s="101">
        <v>6.9444444444444441E-3</v>
      </c>
      <c r="O192" s="29" t="s">
        <v>1227</v>
      </c>
      <c r="P192" s="29" t="s">
        <v>21</v>
      </c>
    </row>
    <row r="193" spans="1:16">
      <c r="A193" s="29">
        <f t="shared" si="2"/>
        <v>192</v>
      </c>
      <c r="B193" s="75">
        <v>46089</v>
      </c>
      <c r="C193" s="63" t="s">
        <v>1268</v>
      </c>
      <c r="D193" s="63" t="s">
        <v>16</v>
      </c>
      <c r="E193" s="101">
        <v>4.6527777777777779E-2</v>
      </c>
      <c r="F193" s="64" t="str">
        <f>VLOOKUP(G193,'Vehicle List'!A:C,3,0)</f>
        <v>Kongunadu Roadlines</v>
      </c>
      <c r="G193" s="29" t="s">
        <v>599</v>
      </c>
      <c r="H193" s="29" t="s">
        <v>1507</v>
      </c>
      <c r="I193" s="29" t="s">
        <v>1508</v>
      </c>
      <c r="J193" s="64" t="str">
        <f>VLOOKUP(G193,'Vehicle List'!A:D,4,0)</f>
        <v>Kochi</v>
      </c>
      <c r="K193" s="64" t="s">
        <v>29</v>
      </c>
      <c r="L193" s="64" t="s">
        <v>19</v>
      </c>
      <c r="M193" s="64" t="s">
        <v>19</v>
      </c>
      <c r="N193" s="101">
        <v>4.6527777777777779E-2</v>
      </c>
      <c r="O193" s="29" t="s">
        <v>1463</v>
      </c>
      <c r="P193" s="29" t="s">
        <v>21</v>
      </c>
    </row>
    <row r="194" spans="1:16">
      <c r="A194" s="29">
        <f t="shared" si="2"/>
        <v>193</v>
      </c>
      <c r="B194" s="75">
        <v>46089</v>
      </c>
      <c r="C194" s="63" t="s">
        <v>1268</v>
      </c>
      <c r="D194" s="63" t="s">
        <v>16</v>
      </c>
      <c r="E194" s="101">
        <v>3.0555555555555555E-2</v>
      </c>
      <c r="F194" s="64" t="str">
        <f>VLOOKUP(G194,'Vehicle List'!A:C,3,0)</f>
        <v>Rahul Roadlines</v>
      </c>
      <c r="G194" s="29" t="s">
        <v>1105</v>
      </c>
      <c r="H194" s="29" t="s">
        <v>1520</v>
      </c>
      <c r="I194" s="29" t="s">
        <v>1540</v>
      </c>
      <c r="J194" s="64" t="str">
        <f>VLOOKUP(G194,'Vehicle List'!A:D,4,0)</f>
        <v>Bhopal</v>
      </c>
      <c r="K194" s="64" t="s">
        <v>24</v>
      </c>
      <c r="L194" s="64" t="s">
        <v>19</v>
      </c>
      <c r="M194" s="64" t="s">
        <v>20</v>
      </c>
      <c r="N194" s="101">
        <v>0.33333333333333331</v>
      </c>
      <c r="O194" s="29" t="s">
        <v>1096</v>
      </c>
      <c r="P194" s="29" t="s">
        <v>21</v>
      </c>
    </row>
    <row r="195" spans="1:16">
      <c r="A195" s="29">
        <f t="shared" ref="A195:A258" si="3">A194+1</f>
        <v>194</v>
      </c>
      <c r="B195" s="75">
        <v>46089</v>
      </c>
      <c r="C195" s="63" t="s">
        <v>1268</v>
      </c>
      <c r="D195" s="63" t="s">
        <v>16</v>
      </c>
      <c r="E195" s="101">
        <v>0.11944444444444445</v>
      </c>
      <c r="F195" s="64" t="str">
        <f>VLOOKUP(G195,'Vehicle List'!A:C,3,0)</f>
        <v>Rahul Roadlines</v>
      </c>
      <c r="G195" s="29" t="s">
        <v>438</v>
      </c>
      <c r="H195" s="29" t="s">
        <v>1505</v>
      </c>
      <c r="I195" s="29" t="s">
        <v>1506</v>
      </c>
      <c r="J195" s="64" t="str">
        <f>VLOOKUP(G195,'Vehicle List'!A:D,4,0)</f>
        <v>ANK</v>
      </c>
      <c r="K195" s="64" t="s">
        <v>29</v>
      </c>
      <c r="L195" s="64" t="s">
        <v>19</v>
      </c>
      <c r="M195" s="64" t="s">
        <v>19</v>
      </c>
      <c r="N195" s="101">
        <v>0.11944444444444445</v>
      </c>
      <c r="O195" s="29" t="s">
        <v>1271</v>
      </c>
      <c r="P195" s="29" t="s">
        <v>21</v>
      </c>
    </row>
    <row r="196" spans="1:16">
      <c r="A196" s="29">
        <f t="shared" si="3"/>
        <v>195</v>
      </c>
      <c r="B196" s="75">
        <v>46089</v>
      </c>
      <c r="C196" s="63" t="s">
        <v>1268</v>
      </c>
      <c r="D196" s="63" t="s">
        <v>16</v>
      </c>
      <c r="E196" s="101">
        <v>0.1388888888888889</v>
      </c>
      <c r="F196" s="64" t="str">
        <f>VLOOKUP(G196,'Vehicle List'!A:C,3,0)</f>
        <v>Kongunadu Roadlines</v>
      </c>
      <c r="G196" s="29" t="s">
        <v>96</v>
      </c>
      <c r="H196" s="29" t="s">
        <v>1401</v>
      </c>
      <c r="I196" s="29" t="s">
        <v>1402</v>
      </c>
      <c r="J196" s="64" t="str">
        <f>VLOOKUP(G196,'Vehicle List'!A:D,4,0)</f>
        <v>Dahej</v>
      </c>
      <c r="K196" s="64" t="s">
        <v>29</v>
      </c>
      <c r="L196" s="64" t="s">
        <v>19</v>
      </c>
      <c r="M196" s="64" t="s">
        <v>19</v>
      </c>
      <c r="N196" s="101">
        <v>0.1388888888888889</v>
      </c>
      <c r="O196" s="29" t="s">
        <v>1271</v>
      </c>
      <c r="P196" s="29" t="s">
        <v>30</v>
      </c>
    </row>
    <row r="197" spans="1:16">
      <c r="A197" s="29">
        <f t="shared" si="3"/>
        <v>196</v>
      </c>
      <c r="B197" s="75">
        <v>46089</v>
      </c>
      <c r="C197" s="63" t="s">
        <v>1268</v>
      </c>
      <c r="D197" s="63" t="s">
        <v>16</v>
      </c>
      <c r="E197" s="101">
        <v>0.23055555555555557</v>
      </c>
      <c r="F197" s="64" t="str">
        <f>VLOOKUP(G197,'Vehicle List'!A:C,3,0)</f>
        <v>Kongunadu Roadlines</v>
      </c>
      <c r="G197" s="29" t="s">
        <v>314</v>
      </c>
      <c r="H197" s="29" t="s">
        <v>1186</v>
      </c>
      <c r="I197" s="29" t="s">
        <v>1185</v>
      </c>
      <c r="J197" s="64" t="str">
        <f>VLOOKUP(G197,'Vehicle List'!A:D,4,0)</f>
        <v>KNCP</v>
      </c>
      <c r="K197" s="64" t="s">
        <v>29</v>
      </c>
      <c r="L197" s="64" t="s">
        <v>19</v>
      </c>
      <c r="M197" s="64" t="s">
        <v>19</v>
      </c>
      <c r="N197" s="101">
        <v>0.23055555555555557</v>
      </c>
      <c r="O197" s="29" t="s">
        <v>1182</v>
      </c>
      <c r="P197" s="29" t="s">
        <v>30</v>
      </c>
    </row>
    <row r="198" spans="1:16">
      <c r="A198" s="29">
        <f t="shared" si="3"/>
        <v>197</v>
      </c>
      <c r="B198" s="75">
        <v>46089</v>
      </c>
      <c r="C198" s="63" t="s">
        <v>1268</v>
      </c>
      <c r="D198" s="63" t="s">
        <v>16</v>
      </c>
      <c r="E198" s="101">
        <v>0.27986111111111112</v>
      </c>
      <c r="F198" s="64" t="str">
        <f>VLOOKUP(G198,'Vehicle List'!A:C,3,0)</f>
        <v>Dhinesh Transports</v>
      </c>
      <c r="G198" s="29" t="s">
        <v>413</v>
      </c>
      <c r="H198" s="29" t="s">
        <v>1516</v>
      </c>
      <c r="I198" s="29" t="s">
        <v>1517</v>
      </c>
      <c r="J198" s="64" t="str">
        <f>VLOOKUP(G198,'Vehicle List'!A:D,4,0)</f>
        <v>MMC</v>
      </c>
      <c r="K198" s="64" t="s">
        <v>29</v>
      </c>
      <c r="L198" s="64" t="s">
        <v>19</v>
      </c>
      <c r="M198" s="64" t="s">
        <v>19</v>
      </c>
      <c r="N198" s="101">
        <v>0.27986111111111112</v>
      </c>
      <c r="O198" s="29" t="s">
        <v>1271</v>
      </c>
      <c r="P198" s="29" t="s">
        <v>30</v>
      </c>
    </row>
    <row r="199" spans="1:16">
      <c r="A199" s="29">
        <f t="shared" si="3"/>
        <v>198</v>
      </c>
      <c r="B199" s="75">
        <v>46089</v>
      </c>
      <c r="C199" s="63" t="s">
        <v>1268</v>
      </c>
      <c r="D199" s="63" t="s">
        <v>16</v>
      </c>
      <c r="E199" s="101">
        <v>0.28333333333333333</v>
      </c>
      <c r="F199" s="64" t="str">
        <f>VLOOKUP(G199,'Vehicle List'!A:C,3,0)</f>
        <v>Kongunadu Roadlines</v>
      </c>
      <c r="G199" s="29" t="s">
        <v>591</v>
      </c>
      <c r="H199" s="29" t="s">
        <v>1518</v>
      </c>
      <c r="I199" s="29" t="s">
        <v>1519</v>
      </c>
      <c r="J199" s="64" t="str">
        <f>VLOOKUP(G199,'Vehicle List'!A:D,4,0)</f>
        <v>Kochi</v>
      </c>
      <c r="K199" s="64" t="s">
        <v>29</v>
      </c>
      <c r="L199" s="64" t="s">
        <v>19</v>
      </c>
      <c r="M199" s="64" t="s">
        <v>19</v>
      </c>
      <c r="N199" s="101">
        <v>0.28333333333333333</v>
      </c>
      <c r="O199" s="29" t="s">
        <v>1195</v>
      </c>
      <c r="P199" s="29" t="s">
        <v>21</v>
      </c>
    </row>
    <row r="200" spans="1:16">
      <c r="A200" s="29">
        <f t="shared" si="3"/>
        <v>199</v>
      </c>
      <c r="B200" s="75">
        <v>46089</v>
      </c>
      <c r="C200" s="63" t="s">
        <v>1268</v>
      </c>
      <c r="D200" s="63" t="s">
        <v>16</v>
      </c>
      <c r="E200" s="101">
        <v>0.27500000000000002</v>
      </c>
      <c r="F200" s="64" t="str">
        <f>VLOOKUP(G200,'Vehicle List'!A:C,3,0)</f>
        <v>Kongunadu Roadlines</v>
      </c>
      <c r="G200" s="29" t="s">
        <v>591</v>
      </c>
      <c r="H200" s="29" t="s">
        <v>1518</v>
      </c>
      <c r="I200" s="29" t="s">
        <v>1519</v>
      </c>
      <c r="J200" s="64" t="str">
        <f>VLOOKUP(G200,'Vehicle List'!A:D,4,0)</f>
        <v>Kochi</v>
      </c>
      <c r="K200" s="64" t="s">
        <v>24</v>
      </c>
      <c r="L200" s="64" t="s">
        <v>19</v>
      </c>
      <c r="M200" s="64" t="s">
        <v>20</v>
      </c>
      <c r="N200" s="101">
        <v>0.29722222222222222</v>
      </c>
      <c r="O200" s="29" t="s">
        <v>1244</v>
      </c>
      <c r="P200" s="29" t="s">
        <v>21</v>
      </c>
    </row>
    <row r="201" spans="1:16">
      <c r="A201" s="29">
        <f t="shared" si="3"/>
        <v>200</v>
      </c>
      <c r="B201" s="75">
        <v>46089</v>
      </c>
      <c r="C201" s="63" t="s">
        <v>1123</v>
      </c>
      <c r="D201" s="63" t="s">
        <v>28</v>
      </c>
      <c r="E201" s="101">
        <v>0.3125</v>
      </c>
      <c r="F201" s="64" t="str">
        <f>VLOOKUP(G201,'Vehicle List'!A:C,3,0)</f>
        <v>Oraya Gas India Pvt.Ltd.</v>
      </c>
      <c r="G201" s="29" t="s">
        <v>100</v>
      </c>
      <c r="H201" s="29" t="s">
        <v>1197</v>
      </c>
      <c r="I201" s="29" t="s">
        <v>1196</v>
      </c>
      <c r="J201" s="64" t="str">
        <f>VLOOKUP(G201,'Vehicle List'!A:D,4,0)</f>
        <v>Dahej</v>
      </c>
      <c r="K201" s="64" t="s">
        <v>29</v>
      </c>
      <c r="L201" s="64" t="s">
        <v>19</v>
      </c>
      <c r="M201" s="64" t="s">
        <v>19</v>
      </c>
      <c r="N201" s="101">
        <v>0.32222222222222224</v>
      </c>
      <c r="O201" s="29" t="s">
        <v>1260</v>
      </c>
      <c r="P201" s="29" t="s">
        <v>30</v>
      </c>
    </row>
    <row r="202" spans="1:16">
      <c r="A202" s="29">
        <f t="shared" si="3"/>
        <v>201</v>
      </c>
      <c r="B202" s="75">
        <v>46089</v>
      </c>
      <c r="C202" s="63" t="s">
        <v>1123</v>
      </c>
      <c r="D202" s="63" t="s">
        <v>28</v>
      </c>
      <c r="E202" s="101">
        <v>0.31944444444444442</v>
      </c>
      <c r="F202" s="64" t="str">
        <f>VLOOKUP(G202,'Vehicle List'!A:C,3,0)</f>
        <v>Anisha Logistics</v>
      </c>
      <c r="G202" s="29" t="s">
        <v>480</v>
      </c>
      <c r="H202" s="29" t="s">
        <v>1292</v>
      </c>
      <c r="I202" s="29" t="s">
        <v>1291</v>
      </c>
      <c r="J202" s="64" t="str">
        <f>VLOOKUP(G202,'Vehicle List'!A:D,4,0)</f>
        <v>Bhopal</v>
      </c>
      <c r="K202" s="64" t="s">
        <v>29</v>
      </c>
      <c r="L202" s="64" t="s">
        <v>19</v>
      </c>
      <c r="M202" s="64" t="s">
        <v>19</v>
      </c>
      <c r="N202" s="101">
        <v>0.32430555555555557</v>
      </c>
      <c r="O202" s="29" t="s">
        <v>1062</v>
      </c>
      <c r="P202" s="29" t="s">
        <v>30</v>
      </c>
    </row>
    <row r="203" spans="1:16">
      <c r="A203" s="29">
        <f t="shared" si="3"/>
        <v>202</v>
      </c>
      <c r="B203" s="75">
        <v>46089</v>
      </c>
      <c r="C203" s="63" t="s">
        <v>1123</v>
      </c>
      <c r="D203" s="63" t="s">
        <v>28</v>
      </c>
      <c r="E203" s="101">
        <v>0.31527777777777777</v>
      </c>
      <c r="F203" s="64" t="str">
        <f>VLOOKUP(G203,'Vehicle List'!A:C,3,0)</f>
        <v>Rahul Roadlines</v>
      </c>
      <c r="G203" s="29" t="s">
        <v>419</v>
      </c>
      <c r="H203" s="29" t="s">
        <v>1522</v>
      </c>
      <c r="I203" s="29" t="s">
        <v>1521</v>
      </c>
      <c r="J203" s="64" t="str">
        <f>VLOOKUP(G203,'Vehicle List'!A:D,4,0)</f>
        <v>ANK</v>
      </c>
      <c r="K203" s="64" t="s">
        <v>29</v>
      </c>
      <c r="L203" s="64" t="s">
        <v>19</v>
      </c>
      <c r="M203" s="64" t="s">
        <v>19</v>
      </c>
      <c r="N203" s="101">
        <v>0.32500000000000001</v>
      </c>
      <c r="O203" s="29" t="s">
        <v>1195</v>
      </c>
      <c r="P203" s="29" t="s">
        <v>30</v>
      </c>
    </row>
    <row r="204" spans="1:16">
      <c r="A204" s="29">
        <f t="shared" si="3"/>
        <v>203</v>
      </c>
      <c r="B204" s="75">
        <v>46089</v>
      </c>
      <c r="C204" s="63" t="s">
        <v>1123</v>
      </c>
      <c r="D204" s="63" t="s">
        <v>28</v>
      </c>
      <c r="E204" s="101">
        <v>0.37013888888888891</v>
      </c>
      <c r="F204" s="64" t="str">
        <f>VLOOKUP(G204,'Vehicle List'!A:C,3,0)</f>
        <v>Gas Point</v>
      </c>
      <c r="G204" s="29" t="s">
        <v>492</v>
      </c>
      <c r="H204" s="29" t="s">
        <v>1525</v>
      </c>
      <c r="I204" s="29" t="s">
        <v>1526</v>
      </c>
      <c r="J204" s="64" t="str">
        <f>VLOOKUP(G204,'Vehicle List'!A:D,4,0)</f>
        <v>Bhopal</v>
      </c>
      <c r="K204" s="64" t="s">
        <v>18</v>
      </c>
      <c r="L204" s="64" t="s">
        <v>19</v>
      </c>
      <c r="M204" s="64" t="s">
        <v>20</v>
      </c>
      <c r="N204" s="101">
        <v>0.38472222222222224</v>
      </c>
      <c r="O204" s="29" t="s">
        <v>1096</v>
      </c>
      <c r="P204" s="29" t="s">
        <v>21</v>
      </c>
    </row>
    <row r="205" spans="1:16">
      <c r="A205" s="29">
        <f t="shared" si="3"/>
        <v>204</v>
      </c>
      <c r="B205" s="75">
        <v>46089</v>
      </c>
      <c r="C205" s="63" t="s">
        <v>1123</v>
      </c>
      <c r="D205" s="63" t="s">
        <v>28</v>
      </c>
      <c r="E205" s="101">
        <v>0.37708333333333333</v>
      </c>
      <c r="F205" s="64" t="str">
        <f>VLOOKUP(G205,'Vehicle List'!A:C,3,0)</f>
        <v>Expo Trans India Limited</v>
      </c>
      <c r="G205" s="29" t="s">
        <v>287</v>
      </c>
      <c r="H205" s="29" t="s">
        <v>1493</v>
      </c>
      <c r="I205" s="29" t="s">
        <v>1188</v>
      </c>
      <c r="J205" s="64" t="str">
        <f>VLOOKUP(G205,'Vehicle List'!A:D,4,0)</f>
        <v>Kolar</v>
      </c>
      <c r="K205" s="64" t="s">
        <v>26</v>
      </c>
      <c r="L205" s="64" t="s">
        <v>19</v>
      </c>
      <c r="M205" s="64" t="s">
        <v>20</v>
      </c>
      <c r="N205" s="101">
        <v>0.38680555555555557</v>
      </c>
      <c r="O205" s="29" t="s">
        <v>1295</v>
      </c>
      <c r="P205" s="29" t="s">
        <v>21</v>
      </c>
    </row>
    <row r="206" spans="1:16">
      <c r="A206" s="29">
        <f t="shared" si="3"/>
        <v>205</v>
      </c>
      <c r="B206" s="75">
        <v>46089</v>
      </c>
      <c r="C206" s="63" t="s">
        <v>1123</v>
      </c>
      <c r="D206" s="63" t="s">
        <v>28</v>
      </c>
      <c r="E206" s="101">
        <v>0.37708333333333333</v>
      </c>
      <c r="F206" s="64" t="str">
        <f>VLOOKUP(G206,'Vehicle List'!A:C,3,0)</f>
        <v>Expo Trans India Limited</v>
      </c>
      <c r="G206" s="29" t="s">
        <v>287</v>
      </c>
      <c r="H206" s="29" t="s">
        <v>1493</v>
      </c>
      <c r="I206" s="29" t="s">
        <v>1188</v>
      </c>
      <c r="J206" s="64" t="str">
        <f>VLOOKUP(G206,'Vehicle List'!A:D,4,0)</f>
        <v>Kolar</v>
      </c>
      <c r="K206" s="64" t="s">
        <v>29</v>
      </c>
      <c r="L206" s="64" t="s">
        <v>19</v>
      </c>
      <c r="M206" s="64" t="s">
        <v>19</v>
      </c>
      <c r="N206" s="101">
        <v>0.38680555555555557</v>
      </c>
      <c r="O206" s="29" t="s">
        <v>1189</v>
      </c>
      <c r="P206" s="29" t="s">
        <v>30</v>
      </c>
    </row>
    <row r="207" spans="1:16">
      <c r="A207" s="29">
        <f t="shared" si="3"/>
        <v>206</v>
      </c>
      <c r="B207" s="75">
        <v>46089</v>
      </c>
      <c r="C207" s="63" t="s">
        <v>1123</v>
      </c>
      <c r="D207" s="63" t="s">
        <v>28</v>
      </c>
      <c r="E207" s="101">
        <v>0.3888888888888889</v>
      </c>
      <c r="F207" s="64" t="str">
        <f>VLOOKUP(G207,'Vehicle List'!A:C,3,0)</f>
        <v>Chaudhary Transport</v>
      </c>
      <c r="G207" s="29" t="s">
        <v>1099</v>
      </c>
      <c r="H207" s="29" t="s">
        <v>1524</v>
      </c>
      <c r="I207" s="29" t="s">
        <v>1523</v>
      </c>
      <c r="J207" s="64" t="str">
        <f>VLOOKUP(G207,'Vehicle List'!A:D,4,0)</f>
        <v>KNCP</v>
      </c>
      <c r="K207" s="64" t="s">
        <v>29</v>
      </c>
      <c r="L207" s="64" t="s">
        <v>19</v>
      </c>
      <c r="M207" s="64" t="s">
        <v>19</v>
      </c>
      <c r="N207" s="101">
        <v>0.39097222222222222</v>
      </c>
      <c r="O207" s="29" t="s">
        <v>1182</v>
      </c>
      <c r="P207" s="29" t="s">
        <v>30</v>
      </c>
    </row>
    <row r="208" spans="1:16">
      <c r="A208" s="29">
        <f t="shared" si="3"/>
        <v>207</v>
      </c>
      <c r="B208" s="75">
        <v>46089</v>
      </c>
      <c r="C208" s="63" t="s">
        <v>1123</v>
      </c>
      <c r="D208" s="63" t="s">
        <v>28</v>
      </c>
      <c r="E208" s="101">
        <v>0.4236111111111111</v>
      </c>
      <c r="F208" s="64" t="str">
        <f>VLOOKUP(G208,'Vehicle List'!A:C,3,0)</f>
        <v>Kongunadu Roadlines</v>
      </c>
      <c r="G208" s="29" t="s">
        <v>74</v>
      </c>
      <c r="H208" s="29" t="s">
        <v>740</v>
      </c>
      <c r="I208" s="29" t="s">
        <v>741</v>
      </c>
      <c r="J208" s="64" t="str">
        <f>VLOOKUP(G208,'Vehicle List'!A:D,4,0)</f>
        <v>Ennore</v>
      </c>
      <c r="K208" s="64" t="s">
        <v>29</v>
      </c>
      <c r="L208" s="64" t="s">
        <v>19</v>
      </c>
      <c r="M208" s="64" t="s">
        <v>19</v>
      </c>
      <c r="N208" s="101">
        <v>0.42569444444444443</v>
      </c>
      <c r="O208" s="29" t="s">
        <v>1260</v>
      </c>
      <c r="P208" s="29" t="s">
        <v>30</v>
      </c>
    </row>
    <row r="209" spans="1:16">
      <c r="A209" s="29">
        <f t="shared" si="3"/>
        <v>208</v>
      </c>
      <c r="B209" s="75">
        <v>46089</v>
      </c>
      <c r="C209" s="63" t="s">
        <v>1123</v>
      </c>
      <c r="D209" s="63" t="s">
        <v>28</v>
      </c>
      <c r="E209" s="101">
        <v>0.4826388888888889</v>
      </c>
      <c r="F209" s="64" t="str">
        <f>VLOOKUP(G209,'Vehicle List'!A:C,3,0)</f>
        <v>Kongunadu Roadlines</v>
      </c>
      <c r="G209" s="29" t="s">
        <v>366</v>
      </c>
      <c r="H209" s="29" t="s">
        <v>865</v>
      </c>
      <c r="I209" s="29" t="s">
        <v>866</v>
      </c>
      <c r="J209" s="64" t="str">
        <f>VLOOKUP(G209,'Vehicle List'!A:D,4,0)</f>
        <v>KNV</v>
      </c>
      <c r="K209" s="64" t="s">
        <v>29</v>
      </c>
      <c r="L209" s="64" t="s">
        <v>19</v>
      </c>
      <c r="M209" s="64" t="s">
        <v>19</v>
      </c>
      <c r="N209" s="101">
        <v>0.48749999999999999</v>
      </c>
      <c r="O209" s="29" t="s">
        <v>1312</v>
      </c>
      <c r="P209" s="29" t="s">
        <v>30</v>
      </c>
    </row>
    <row r="210" spans="1:16">
      <c r="A210" s="29">
        <f t="shared" si="3"/>
        <v>209</v>
      </c>
      <c r="B210" s="75">
        <v>46089</v>
      </c>
      <c r="C210" s="63" t="s">
        <v>1123</v>
      </c>
      <c r="D210" s="63" t="s">
        <v>28</v>
      </c>
      <c r="E210" s="101">
        <v>0.5</v>
      </c>
      <c r="F210" s="64" t="str">
        <f>VLOOKUP(G210,'Vehicle List'!A:C,3,0)</f>
        <v>Gas Point</v>
      </c>
      <c r="G210" s="29" t="s">
        <v>496</v>
      </c>
      <c r="H210" s="29" t="s">
        <v>1211</v>
      </c>
      <c r="I210" s="29" t="s">
        <v>1212</v>
      </c>
      <c r="J210" s="64" t="str">
        <f>VLOOKUP(G210,'Vehicle List'!A:D,4,0)</f>
        <v>Bhopal</v>
      </c>
      <c r="K210" s="64" t="s">
        <v>29</v>
      </c>
      <c r="L210" s="64" t="s">
        <v>19</v>
      </c>
      <c r="M210" s="64" t="s">
        <v>19</v>
      </c>
      <c r="N210" s="101">
        <v>0.50624999999999998</v>
      </c>
      <c r="O210" s="29" t="s">
        <v>1062</v>
      </c>
      <c r="P210" s="29" t="s">
        <v>30</v>
      </c>
    </row>
    <row r="211" spans="1:16">
      <c r="A211" s="29">
        <f t="shared" si="3"/>
        <v>210</v>
      </c>
      <c r="B211" s="75">
        <v>46089</v>
      </c>
      <c r="C211" s="63" t="s">
        <v>1123</v>
      </c>
      <c r="D211" s="63" t="s">
        <v>28</v>
      </c>
      <c r="E211" s="101">
        <v>0.50694444444444442</v>
      </c>
      <c r="F211" s="64" t="str">
        <f>VLOOKUP(G211,'Vehicle List'!A:C,3,0)</f>
        <v>Kongunadu Roadlines</v>
      </c>
      <c r="G211" s="29" t="s">
        <v>99</v>
      </c>
      <c r="H211" s="29" t="s">
        <v>1200</v>
      </c>
      <c r="I211" s="29" t="s">
        <v>1250</v>
      </c>
      <c r="J211" s="64" t="str">
        <f>VLOOKUP(G211,'Vehicle List'!A:D,4,0)</f>
        <v>Ennore</v>
      </c>
      <c r="K211" s="64" t="s">
        <v>29</v>
      </c>
      <c r="L211" s="64" t="s">
        <v>19</v>
      </c>
      <c r="M211" s="64" t="s">
        <v>19</v>
      </c>
      <c r="N211" s="101">
        <v>0.51111111111111107</v>
      </c>
      <c r="O211" s="29" t="s">
        <v>1312</v>
      </c>
      <c r="P211" s="29" t="s">
        <v>30</v>
      </c>
    </row>
    <row r="212" spans="1:16">
      <c r="A212" s="29">
        <f t="shared" si="3"/>
        <v>211</v>
      </c>
      <c r="B212" s="75">
        <v>46089</v>
      </c>
      <c r="C212" s="63" t="s">
        <v>1123</v>
      </c>
      <c r="D212" s="63" t="s">
        <v>28</v>
      </c>
      <c r="E212" s="101">
        <v>0.46736111111111112</v>
      </c>
      <c r="F212" s="64" t="str">
        <f>VLOOKUP(G212,'Vehicle List'!A:C,3,0)</f>
        <v>Chaudhary Transport</v>
      </c>
      <c r="G212" s="29" t="s">
        <v>572</v>
      </c>
      <c r="H212" s="29" t="s">
        <v>1343</v>
      </c>
      <c r="I212" s="29" t="s">
        <v>1344</v>
      </c>
      <c r="J212" s="64" t="str">
        <f>VLOOKUP(G212,'Vehicle List'!A:D,4,0)</f>
        <v>KNCP</v>
      </c>
      <c r="K212" s="64" t="s">
        <v>26</v>
      </c>
      <c r="L212" s="64" t="s">
        <v>19</v>
      </c>
      <c r="M212" s="64" t="s">
        <v>20</v>
      </c>
      <c r="N212" s="101">
        <v>0.54791666666666672</v>
      </c>
      <c r="O212" s="29" t="s">
        <v>1286</v>
      </c>
      <c r="P212" s="29" t="s">
        <v>21</v>
      </c>
    </row>
    <row r="213" spans="1:16">
      <c r="A213" s="29">
        <f t="shared" si="3"/>
        <v>212</v>
      </c>
      <c r="B213" s="75">
        <v>46089</v>
      </c>
      <c r="C213" s="63" t="s">
        <v>85</v>
      </c>
      <c r="D213" s="63" t="s">
        <v>39</v>
      </c>
      <c r="E213" s="101">
        <v>0.12569444444444444</v>
      </c>
      <c r="F213" s="64" t="str">
        <f>VLOOKUP(G213,'Vehicle List'!A:C,3,0)</f>
        <v>Expo Trans India Limited</v>
      </c>
      <c r="G213" s="29" t="s">
        <v>337</v>
      </c>
      <c r="H213" s="29" t="s">
        <v>1530</v>
      </c>
      <c r="I213" s="29" t="s">
        <v>1531</v>
      </c>
      <c r="J213" s="64" t="str">
        <f>VLOOKUP(G213,'Vehicle List'!A:D,4,0)</f>
        <v>UHS</v>
      </c>
      <c r="K213" s="64" t="s">
        <v>29</v>
      </c>
      <c r="L213" s="64" t="s">
        <v>19</v>
      </c>
      <c r="M213" s="64" t="s">
        <v>19</v>
      </c>
      <c r="N213" s="101">
        <v>0.12569444444444444</v>
      </c>
      <c r="O213" s="29" t="s">
        <v>1224</v>
      </c>
      <c r="P213" s="29" t="s">
        <v>21</v>
      </c>
    </row>
    <row r="214" spans="1:16">
      <c r="A214" s="29">
        <f t="shared" si="3"/>
        <v>213</v>
      </c>
      <c r="B214" s="75">
        <v>46089</v>
      </c>
      <c r="C214" s="63" t="s">
        <v>85</v>
      </c>
      <c r="D214" s="63" t="s">
        <v>39</v>
      </c>
      <c r="E214" s="101">
        <v>0.1763888888888889</v>
      </c>
      <c r="F214" s="64" t="str">
        <f>VLOOKUP(G214,'Vehicle List'!A:C,3,0)</f>
        <v>Kongunadu Roadlines</v>
      </c>
      <c r="G214" s="29" t="s">
        <v>36</v>
      </c>
      <c r="H214" s="29" t="s">
        <v>1532</v>
      </c>
      <c r="I214" s="29" t="s">
        <v>1533</v>
      </c>
      <c r="J214" s="64" t="str">
        <f>VLOOKUP(G214,'Vehicle List'!A:D,4,0)</f>
        <v>KNCP</v>
      </c>
      <c r="K214" s="64" t="s">
        <v>29</v>
      </c>
      <c r="L214" s="64" t="s">
        <v>19</v>
      </c>
      <c r="M214" s="64" t="s">
        <v>19</v>
      </c>
      <c r="N214" s="101">
        <v>0.1763888888888889</v>
      </c>
      <c r="O214" s="29" t="s">
        <v>1312</v>
      </c>
      <c r="P214" s="29" t="s">
        <v>30</v>
      </c>
    </row>
    <row r="215" spans="1:16">
      <c r="A215" s="29">
        <f t="shared" si="3"/>
        <v>214</v>
      </c>
      <c r="B215" s="75">
        <v>46089</v>
      </c>
      <c r="C215" s="63" t="s">
        <v>85</v>
      </c>
      <c r="D215" s="63" t="s">
        <v>39</v>
      </c>
      <c r="E215" s="101">
        <v>0.19513888888888889</v>
      </c>
      <c r="F215" s="64" t="str">
        <f>VLOOKUP(G215,'Vehicle List'!A:C,3,0)</f>
        <v>Expo Trans India Limited</v>
      </c>
      <c r="G215" s="29" t="s">
        <v>40</v>
      </c>
      <c r="H215" s="29" t="s">
        <v>1360</v>
      </c>
      <c r="I215" s="29" t="s">
        <v>1361</v>
      </c>
      <c r="J215" s="64" t="str">
        <f>VLOOKUP(G215,'Vehicle List'!A:D,4,0)</f>
        <v>Chittoor</v>
      </c>
      <c r="K215" s="64" t="s">
        <v>29</v>
      </c>
      <c r="L215" s="64" t="s">
        <v>19</v>
      </c>
      <c r="M215" s="64" t="s">
        <v>19</v>
      </c>
      <c r="N215" s="101">
        <v>0.19513888888888889</v>
      </c>
      <c r="O215" s="29" t="s">
        <v>1225</v>
      </c>
      <c r="P215" s="29" t="s">
        <v>30</v>
      </c>
    </row>
    <row r="216" spans="1:16">
      <c r="A216" s="29">
        <f t="shared" si="3"/>
        <v>215</v>
      </c>
      <c r="B216" s="75">
        <v>46089</v>
      </c>
      <c r="C216" s="63" t="s">
        <v>85</v>
      </c>
      <c r="D216" s="63" t="s">
        <v>39</v>
      </c>
      <c r="E216" s="101">
        <v>0.21527777777777779</v>
      </c>
      <c r="F216" s="64" t="str">
        <f>VLOOKUP(G216,'Vehicle List'!A:C,3,0)</f>
        <v>Rahul Roadlines</v>
      </c>
      <c r="G216" s="29" t="s">
        <v>1103</v>
      </c>
      <c r="H216" s="29" t="s">
        <v>1487</v>
      </c>
      <c r="I216" s="29" t="s">
        <v>1534</v>
      </c>
      <c r="J216" s="64" t="str">
        <f>VLOOKUP(G216,'Vehicle List'!A:D,4,0)</f>
        <v>Bhopal</v>
      </c>
      <c r="K216" s="64" t="s">
        <v>29</v>
      </c>
      <c r="L216" s="64" t="s">
        <v>19</v>
      </c>
      <c r="M216" s="64" t="s">
        <v>19</v>
      </c>
      <c r="N216" s="101">
        <v>0.21527777777777779</v>
      </c>
      <c r="O216" s="29" t="s">
        <v>1062</v>
      </c>
      <c r="P216" s="29" t="s">
        <v>30</v>
      </c>
    </row>
    <row r="217" spans="1:16">
      <c r="A217" s="29">
        <f t="shared" si="3"/>
        <v>216</v>
      </c>
      <c r="B217" s="75">
        <v>46089</v>
      </c>
      <c r="C217" s="63" t="s">
        <v>85</v>
      </c>
      <c r="D217" s="63" t="s">
        <v>39</v>
      </c>
      <c r="E217" s="101">
        <v>0.22013888888888888</v>
      </c>
      <c r="F217" s="64" t="str">
        <f>VLOOKUP(G217,'Vehicle List'!A:C,3,0)</f>
        <v>Anmol Transport</v>
      </c>
      <c r="G217" s="29" t="s">
        <v>563</v>
      </c>
      <c r="H217" s="29" t="s">
        <v>1375</v>
      </c>
      <c r="I217" s="29" t="s">
        <v>1258</v>
      </c>
      <c r="J217" s="64" t="str">
        <f>VLOOKUP(G217,'Vehicle List'!A:D,4,0)</f>
        <v>Jalandhar</v>
      </c>
      <c r="K217" s="64" t="s">
        <v>29</v>
      </c>
      <c r="L217" s="64" t="s">
        <v>19</v>
      </c>
      <c r="M217" s="64" t="s">
        <v>19</v>
      </c>
      <c r="N217" s="101">
        <v>0.22013888888888888</v>
      </c>
      <c r="O217" s="29" t="s">
        <v>1529</v>
      </c>
      <c r="P217" s="29" t="s">
        <v>30</v>
      </c>
    </row>
    <row r="218" spans="1:16">
      <c r="A218" s="29">
        <f t="shared" si="3"/>
        <v>217</v>
      </c>
      <c r="B218" s="75">
        <v>46089</v>
      </c>
      <c r="C218" s="63" t="s">
        <v>85</v>
      </c>
      <c r="D218" s="63" t="s">
        <v>39</v>
      </c>
      <c r="E218" s="101">
        <v>0.29166666666666669</v>
      </c>
      <c r="F218" s="64" t="str">
        <f>VLOOKUP(G218,'Vehicle List'!A:C,3,0)</f>
        <v>Rahul Roadlines</v>
      </c>
      <c r="G218" s="29" t="s">
        <v>43</v>
      </c>
      <c r="H218" s="29" t="s">
        <v>1535</v>
      </c>
      <c r="I218" s="29" t="s">
        <v>1536</v>
      </c>
      <c r="J218" s="64" t="str">
        <f>VLOOKUP(G218,'Vehicle List'!A:D,4,0)</f>
        <v>ANK</v>
      </c>
      <c r="K218" s="64" t="s">
        <v>29</v>
      </c>
      <c r="L218" s="64" t="s">
        <v>19</v>
      </c>
      <c r="M218" s="64" t="s">
        <v>19</v>
      </c>
      <c r="N218" s="101">
        <v>0.29166666666666669</v>
      </c>
      <c r="O218" s="29" t="s">
        <v>1224</v>
      </c>
      <c r="P218" s="29" t="s">
        <v>30</v>
      </c>
    </row>
    <row r="219" spans="1:16">
      <c r="A219" s="29">
        <f t="shared" si="3"/>
        <v>218</v>
      </c>
      <c r="B219" s="75">
        <v>46089</v>
      </c>
      <c r="C219" s="63" t="s">
        <v>85</v>
      </c>
      <c r="D219" s="63" t="s">
        <v>39</v>
      </c>
      <c r="E219" s="101">
        <v>0.31597222222222221</v>
      </c>
      <c r="F219" s="64" t="str">
        <f>VLOOKUP(G219,'Vehicle List'!A:C,3,0)</f>
        <v>Rahul Roadlines</v>
      </c>
      <c r="G219" s="29" t="s">
        <v>65</v>
      </c>
      <c r="H219" s="29" t="s">
        <v>1538</v>
      </c>
      <c r="I219" s="29" t="s">
        <v>1539</v>
      </c>
      <c r="J219" s="64" t="str">
        <f>VLOOKUP(G219,'Vehicle List'!A:D,4,0)</f>
        <v>Ennore</v>
      </c>
      <c r="K219" s="64" t="s">
        <v>29</v>
      </c>
      <c r="L219" s="64" t="s">
        <v>19</v>
      </c>
      <c r="M219" s="64" t="s">
        <v>19</v>
      </c>
      <c r="N219" s="101">
        <v>0.31597222222222221</v>
      </c>
      <c r="O219" s="29" t="s">
        <v>1537</v>
      </c>
      <c r="P219" s="29" t="s">
        <v>21</v>
      </c>
    </row>
    <row r="220" spans="1:16">
      <c r="A220" s="29">
        <f t="shared" si="3"/>
        <v>219</v>
      </c>
      <c r="B220" s="75">
        <v>46089</v>
      </c>
      <c r="C220" s="63" t="s">
        <v>27</v>
      </c>
      <c r="D220" s="63" t="s">
        <v>16</v>
      </c>
      <c r="E220" s="101">
        <v>0.92777777777777781</v>
      </c>
      <c r="F220" s="64" t="str">
        <f>VLOOKUP(G220,'Vehicle List'!A:C,3,0)</f>
        <v>Kongunadu Roadlines</v>
      </c>
      <c r="G220" s="29" t="s">
        <v>589</v>
      </c>
      <c r="H220" s="29" t="s">
        <v>1491</v>
      </c>
      <c r="I220" s="29" t="s">
        <v>1492</v>
      </c>
      <c r="J220" s="64" t="str">
        <f>VLOOKUP(G220,'Vehicle List'!A:D,4,0)</f>
        <v>Dahej</v>
      </c>
      <c r="K220" s="64" t="s">
        <v>29</v>
      </c>
      <c r="L220" s="64" t="s">
        <v>19</v>
      </c>
      <c r="M220" s="64" t="s">
        <v>19</v>
      </c>
      <c r="N220" s="101">
        <v>0.92777777777777781</v>
      </c>
      <c r="O220" s="29" t="s">
        <v>1182</v>
      </c>
      <c r="P220" s="29" t="s">
        <v>30</v>
      </c>
    </row>
    <row r="221" spans="1:16">
      <c r="A221" s="29">
        <f t="shared" si="3"/>
        <v>220</v>
      </c>
      <c r="B221" s="75">
        <v>46089</v>
      </c>
      <c r="C221" s="63" t="s">
        <v>27</v>
      </c>
      <c r="D221" s="63" t="s">
        <v>16</v>
      </c>
      <c r="E221" s="101">
        <v>0.96111111111111114</v>
      </c>
      <c r="F221" s="64" t="str">
        <f>VLOOKUP(G221,'Vehicle List'!A:C,3,0)</f>
        <v>Velan Gogreen Logistics Pvt Ltd</v>
      </c>
      <c r="G221" s="29" t="s">
        <v>34</v>
      </c>
      <c r="H221" s="29" t="s">
        <v>1257</v>
      </c>
      <c r="I221" s="29" t="s">
        <v>1256</v>
      </c>
      <c r="J221" s="64" t="str">
        <f>VLOOKUP(G221,'Vehicle List'!A:D,4,0)</f>
        <v>KNCP</v>
      </c>
      <c r="K221" s="64" t="s">
        <v>29</v>
      </c>
      <c r="L221" s="64" t="s">
        <v>19</v>
      </c>
      <c r="M221" s="64" t="s">
        <v>19</v>
      </c>
      <c r="N221" s="101">
        <v>0.96111111111111114</v>
      </c>
      <c r="O221" s="29" t="s">
        <v>1371</v>
      </c>
      <c r="P221" s="29" t="s">
        <v>30</v>
      </c>
    </row>
    <row r="222" spans="1:16">
      <c r="A222" s="29">
        <f t="shared" si="3"/>
        <v>221</v>
      </c>
      <c r="B222" s="75">
        <v>46090</v>
      </c>
      <c r="C222" s="63" t="s">
        <v>27</v>
      </c>
      <c r="D222" s="63" t="s">
        <v>16</v>
      </c>
      <c r="E222" s="101">
        <v>0</v>
      </c>
      <c r="F222" s="64" t="str">
        <f>VLOOKUP(G222,'Vehicle List'!A:C,3,0)</f>
        <v>Kongunadu Roadlines</v>
      </c>
      <c r="G222" s="29" t="s">
        <v>44</v>
      </c>
      <c r="H222" s="29" t="s">
        <v>1083</v>
      </c>
      <c r="I222" s="29" t="s">
        <v>1084</v>
      </c>
      <c r="J222" s="64" t="str">
        <f>VLOOKUP(G222,'Vehicle List'!A:D,4,0)</f>
        <v>Vellore</v>
      </c>
      <c r="K222" s="64" t="s">
        <v>29</v>
      </c>
      <c r="L222" s="64" t="s">
        <v>19</v>
      </c>
      <c r="M222" s="64" t="s">
        <v>19</v>
      </c>
      <c r="N222" s="101">
        <v>0</v>
      </c>
      <c r="O222" s="29" t="s">
        <v>1542</v>
      </c>
      <c r="P222" s="29" t="s">
        <v>30</v>
      </c>
    </row>
    <row r="223" spans="1:16">
      <c r="A223" s="29">
        <f t="shared" si="3"/>
        <v>222</v>
      </c>
      <c r="B223" s="75">
        <v>46090</v>
      </c>
      <c r="C223" s="63" t="s">
        <v>27</v>
      </c>
      <c r="D223" s="63" t="s">
        <v>16</v>
      </c>
      <c r="E223" s="101">
        <v>6.2500000000000003E-3</v>
      </c>
      <c r="F223" s="64" t="str">
        <f>VLOOKUP(G223,'Vehicle List'!A:C,3,0)</f>
        <v>Rahul Roadlines</v>
      </c>
      <c r="G223" s="29" t="s">
        <v>65</v>
      </c>
      <c r="H223" s="29" t="s">
        <v>1538</v>
      </c>
      <c r="I223" s="29" t="s">
        <v>1539</v>
      </c>
      <c r="J223" s="64" t="str">
        <f>VLOOKUP(G223,'Vehicle List'!A:D,4,0)</f>
        <v>Ennore</v>
      </c>
      <c r="K223" s="64" t="s">
        <v>29</v>
      </c>
      <c r="L223" s="64" t="s">
        <v>19</v>
      </c>
      <c r="M223" s="64" t="s">
        <v>19</v>
      </c>
      <c r="N223" s="101">
        <v>6.2500000000000003E-3</v>
      </c>
      <c r="O223" s="29" t="s">
        <v>1224</v>
      </c>
      <c r="P223" s="29" t="s">
        <v>21</v>
      </c>
    </row>
    <row r="224" spans="1:16">
      <c r="A224" s="29">
        <f t="shared" si="3"/>
        <v>223</v>
      </c>
      <c r="B224" s="75">
        <v>46090</v>
      </c>
      <c r="C224" s="63" t="s">
        <v>27</v>
      </c>
      <c r="D224" s="63" t="s">
        <v>16</v>
      </c>
      <c r="E224" s="101">
        <v>5.0694444444444445E-2</v>
      </c>
      <c r="F224" s="64" t="str">
        <f>VLOOKUP(G224,'Vehicle List'!A:C,3,0)</f>
        <v>Expo Trans India Limited</v>
      </c>
      <c r="G224" s="29" t="s">
        <v>40</v>
      </c>
      <c r="H224" s="29" t="s">
        <v>1545</v>
      </c>
      <c r="I224" s="29" t="s">
        <v>1361</v>
      </c>
      <c r="J224" s="64" t="str">
        <f>VLOOKUP(G224,'Vehicle List'!A:D,4,0)</f>
        <v>Chittoor</v>
      </c>
      <c r="K224" s="64" t="s">
        <v>29</v>
      </c>
      <c r="L224" s="64" t="s">
        <v>19</v>
      </c>
      <c r="M224" s="64" t="s">
        <v>19</v>
      </c>
      <c r="N224" s="101">
        <v>5.0694444444444445E-2</v>
      </c>
      <c r="O224" s="29" t="s">
        <v>1543</v>
      </c>
      <c r="P224" s="29" t="s">
        <v>30</v>
      </c>
    </row>
    <row r="225" spans="1:16">
      <c r="A225" s="29">
        <f t="shared" si="3"/>
        <v>224</v>
      </c>
      <c r="B225" s="75">
        <v>46090</v>
      </c>
      <c r="C225" s="63" t="s">
        <v>27</v>
      </c>
      <c r="D225" s="63" t="s">
        <v>16</v>
      </c>
      <c r="E225" s="101">
        <v>9.2361111111111116E-2</v>
      </c>
      <c r="F225" s="64" t="str">
        <f>VLOOKUP(G225,'Vehicle List'!A:C,3,0)</f>
        <v>Rahul Roadlines</v>
      </c>
      <c r="G225" s="29" t="s">
        <v>620</v>
      </c>
      <c r="H225" s="29" t="s">
        <v>1547</v>
      </c>
      <c r="I225" s="29" t="s">
        <v>1546</v>
      </c>
      <c r="J225" s="64" t="str">
        <f>VLOOKUP(G225,'Vehicle List'!A:D,4,0)</f>
        <v>Ennore</v>
      </c>
      <c r="K225" s="64" t="s">
        <v>29</v>
      </c>
      <c r="L225" s="64" t="s">
        <v>19</v>
      </c>
      <c r="M225" s="64" t="s">
        <v>19</v>
      </c>
      <c r="N225" s="101">
        <v>9.2361111111111116E-2</v>
      </c>
      <c r="O225" s="29" t="s">
        <v>1224</v>
      </c>
      <c r="P225" s="29" t="s">
        <v>30</v>
      </c>
    </row>
    <row r="226" spans="1:16">
      <c r="A226" s="29">
        <f t="shared" si="3"/>
        <v>225</v>
      </c>
      <c r="B226" s="75">
        <v>46090</v>
      </c>
      <c r="C226" s="63" t="s">
        <v>27</v>
      </c>
      <c r="D226" s="63" t="s">
        <v>16</v>
      </c>
      <c r="E226" s="101">
        <v>0.12222222222222222</v>
      </c>
      <c r="F226" s="64" t="str">
        <f>VLOOKUP(G226,'Vehicle List'!A:C,3,0)</f>
        <v>Kongunadu Roadlines</v>
      </c>
      <c r="G226" s="29" t="s">
        <v>55</v>
      </c>
      <c r="H226" s="29" t="s">
        <v>1548</v>
      </c>
      <c r="I226" s="29" t="s">
        <v>1457</v>
      </c>
      <c r="J226" s="64" t="str">
        <f>VLOOKUP(G226,'Vehicle List'!A:D,4,0)</f>
        <v>Ennore</v>
      </c>
      <c r="K226" s="64" t="s">
        <v>29</v>
      </c>
      <c r="L226" s="64" t="s">
        <v>19</v>
      </c>
      <c r="M226" s="64" t="s">
        <v>19</v>
      </c>
      <c r="N226" s="101">
        <v>0.12222222222222222</v>
      </c>
      <c r="O226" s="29" t="s">
        <v>1544</v>
      </c>
      <c r="P226" s="29" t="s">
        <v>30</v>
      </c>
    </row>
    <row r="227" spans="1:16">
      <c r="A227" s="29">
        <f t="shared" si="3"/>
        <v>226</v>
      </c>
      <c r="B227" s="75">
        <v>46090</v>
      </c>
      <c r="C227" s="63" t="s">
        <v>27</v>
      </c>
      <c r="D227" s="63" t="s">
        <v>16</v>
      </c>
      <c r="E227" s="101">
        <v>0.22430555555555556</v>
      </c>
      <c r="F227" s="64" t="str">
        <f>VLOOKUP(G227,'Vehicle List'!A:C,3,0)</f>
        <v>Expo Trans India Limited</v>
      </c>
      <c r="G227" s="29" t="s">
        <v>71</v>
      </c>
      <c r="H227" s="29" t="s">
        <v>1550</v>
      </c>
      <c r="I227" s="29" t="s">
        <v>1549</v>
      </c>
      <c r="J227" s="64" t="str">
        <f>VLOOKUP(G227,'Vehicle List'!A:D,4,0)</f>
        <v>CHK</v>
      </c>
      <c r="K227" s="64" t="s">
        <v>1171</v>
      </c>
      <c r="L227" s="64" t="s">
        <v>19</v>
      </c>
      <c r="M227" s="64" t="s">
        <v>20</v>
      </c>
      <c r="N227" s="101">
        <v>0.23125000000000001</v>
      </c>
      <c r="O227" s="29" t="s">
        <v>1386</v>
      </c>
      <c r="P227" s="29" t="s">
        <v>21</v>
      </c>
    </row>
    <row r="228" spans="1:16">
      <c r="A228" s="29">
        <f t="shared" si="3"/>
        <v>227</v>
      </c>
      <c r="B228" s="75">
        <v>46090</v>
      </c>
      <c r="C228" s="63" t="s">
        <v>85</v>
      </c>
      <c r="D228" s="63" t="s">
        <v>28</v>
      </c>
      <c r="E228" s="101">
        <v>0.27777777777777779</v>
      </c>
      <c r="F228" s="64" t="str">
        <f>VLOOKUP(G228,'Vehicle List'!A:C,3,0)</f>
        <v>Velan Gogreen Logistics Pvt Ltd</v>
      </c>
      <c r="G228" s="29" t="s">
        <v>442</v>
      </c>
      <c r="H228" s="29" t="s">
        <v>1360</v>
      </c>
      <c r="I228" s="29" t="s">
        <v>1361</v>
      </c>
      <c r="J228" s="64" t="str">
        <f>VLOOKUP(G228,'Vehicle List'!A:D,4,0)</f>
        <v>Chittoor</v>
      </c>
      <c r="K228" s="64" t="s">
        <v>29</v>
      </c>
      <c r="L228" s="64" t="s">
        <v>19</v>
      </c>
      <c r="M228" s="64" t="s">
        <v>19</v>
      </c>
      <c r="N228" s="101">
        <v>0.27777777777777779</v>
      </c>
      <c r="O228" s="29" t="s">
        <v>1224</v>
      </c>
      <c r="P228" s="29" t="s">
        <v>30</v>
      </c>
    </row>
    <row r="229" spans="1:16">
      <c r="A229" s="29">
        <f t="shared" si="3"/>
        <v>228</v>
      </c>
      <c r="B229" s="75">
        <v>46090</v>
      </c>
      <c r="C229" s="63" t="s">
        <v>85</v>
      </c>
      <c r="D229" s="63" t="s">
        <v>28</v>
      </c>
      <c r="E229" s="101">
        <v>0.33333333333333331</v>
      </c>
      <c r="F229" s="64" t="str">
        <f>VLOOKUP(G229,'Vehicle List'!A:C,3,0)</f>
        <v>Expo Trans India Limited</v>
      </c>
      <c r="G229" s="29" t="s">
        <v>523</v>
      </c>
      <c r="H229" s="29" t="s">
        <v>1338</v>
      </c>
      <c r="I229" s="29" t="s">
        <v>1337</v>
      </c>
      <c r="J229" s="64" t="str">
        <f>VLOOKUP(G229,'Vehicle List'!A:D,4,0)</f>
        <v>Jalandhar</v>
      </c>
      <c r="K229" s="64" t="s">
        <v>29</v>
      </c>
      <c r="L229" s="64" t="s">
        <v>19</v>
      </c>
      <c r="M229" s="64" t="s">
        <v>19</v>
      </c>
      <c r="N229" s="101">
        <v>0.33333333333333331</v>
      </c>
      <c r="O229" s="29" t="s">
        <v>1537</v>
      </c>
      <c r="P229" s="29" t="s">
        <v>21</v>
      </c>
    </row>
    <row r="230" spans="1:16">
      <c r="A230" s="29">
        <f t="shared" si="3"/>
        <v>229</v>
      </c>
      <c r="B230" s="75">
        <v>46090</v>
      </c>
      <c r="C230" s="63" t="s">
        <v>85</v>
      </c>
      <c r="D230" s="63" t="s">
        <v>28</v>
      </c>
      <c r="E230" s="101">
        <v>0.33680555555555558</v>
      </c>
      <c r="F230" s="64" t="str">
        <f>VLOOKUP(G230,'Vehicle List'!A:C,3,0)</f>
        <v>Kongunadu Roadlines</v>
      </c>
      <c r="G230" s="29" t="s">
        <v>584</v>
      </c>
      <c r="H230" s="29" t="s">
        <v>870</v>
      </c>
      <c r="I230" s="29" t="s">
        <v>871</v>
      </c>
      <c r="J230" s="64" t="str">
        <f>VLOOKUP(G230,'Vehicle List'!A:D,4,0)</f>
        <v>Dahej</v>
      </c>
      <c r="K230" s="64" t="s">
        <v>26</v>
      </c>
      <c r="L230" s="64" t="s">
        <v>19</v>
      </c>
      <c r="M230" s="64" t="s">
        <v>20</v>
      </c>
      <c r="N230" s="101">
        <v>0.4</v>
      </c>
      <c r="O230" s="29" t="s">
        <v>1124</v>
      </c>
      <c r="P230" s="29" t="s">
        <v>21</v>
      </c>
    </row>
    <row r="231" spans="1:16">
      <c r="A231" s="29">
        <f t="shared" si="3"/>
        <v>230</v>
      </c>
      <c r="B231" s="75">
        <v>46090</v>
      </c>
      <c r="C231" s="63" t="s">
        <v>85</v>
      </c>
      <c r="D231" s="63" t="s">
        <v>28</v>
      </c>
      <c r="E231" s="101">
        <v>0.44305555555555554</v>
      </c>
      <c r="F231" s="64" t="str">
        <f>VLOOKUP(G231,'Vehicle List'!A:C,3,0)</f>
        <v>Velan Gogreen Logistics Pvt Ltd</v>
      </c>
      <c r="G231" s="29" t="s">
        <v>34</v>
      </c>
      <c r="H231" s="29" t="s">
        <v>1524</v>
      </c>
      <c r="I231" s="29" t="s">
        <v>1523</v>
      </c>
      <c r="J231" s="64" t="str">
        <f>VLOOKUP(G231,'Vehicle List'!A:D,4,0)</f>
        <v>KNCP</v>
      </c>
      <c r="K231" s="64" t="s">
        <v>29</v>
      </c>
      <c r="L231" s="64" t="s">
        <v>19</v>
      </c>
      <c r="M231" s="64" t="s">
        <v>19</v>
      </c>
      <c r="N231" s="101">
        <v>0.44305555555555554</v>
      </c>
      <c r="O231" s="29" t="s">
        <v>1553</v>
      </c>
      <c r="P231" s="29" t="s">
        <v>30</v>
      </c>
    </row>
    <row r="232" spans="1:16">
      <c r="A232" s="29">
        <f t="shared" si="3"/>
        <v>231</v>
      </c>
      <c r="B232" s="75">
        <v>46090</v>
      </c>
      <c r="C232" s="63" t="s">
        <v>85</v>
      </c>
      <c r="D232" s="63" t="s">
        <v>28</v>
      </c>
      <c r="E232" s="101">
        <v>0.44444444444444442</v>
      </c>
      <c r="F232" s="64" t="str">
        <f>VLOOKUP(G232,'Vehicle List'!A:C,3,0)</f>
        <v>Dhinesh Transports</v>
      </c>
      <c r="G232" s="29" t="s">
        <v>577</v>
      </c>
      <c r="H232" s="29" t="s">
        <v>1558</v>
      </c>
      <c r="I232" s="29" t="s">
        <v>1559</v>
      </c>
      <c r="J232" s="64" t="str">
        <f>VLOOKUP(G232,'Vehicle List'!A:D,4,0)</f>
        <v>KNCP</v>
      </c>
      <c r="K232" s="64" t="s">
        <v>29</v>
      </c>
      <c r="L232" s="64" t="s">
        <v>19</v>
      </c>
      <c r="M232" s="64" t="s">
        <v>19</v>
      </c>
      <c r="N232" s="101">
        <v>0.44444444444444442</v>
      </c>
      <c r="O232" s="29" t="s">
        <v>1260</v>
      </c>
      <c r="P232" s="29" t="s">
        <v>30</v>
      </c>
    </row>
    <row r="233" spans="1:16">
      <c r="A233" s="29">
        <f t="shared" si="3"/>
        <v>232</v>
      </c>
      <c r="B233" s="75">
        <v>46090</v>
      </c>
      <c r="C233" s="63" t="s">
        <v>85</v>
      </c>
      <c r="D233" s="63" t="s">
        <v>28</v>
      </c>
      <c r="E233" s="101">
        <v>0.4375</v>
      </c>
      <c r="F233" s="64" t="str">
        <f>VLOOKUP(G233,'Vehicle List'!A:C,3,0)</f>
        <v>Kongunadu Roadlines</v>
      </c>
      <c r="G233" s="29" t="s">
        <v>605</v>
      </c>
      <c r="H233" s="29" t="s">
        <v>1560</v>
      </c>
      <c r="I233" s="29" t="s">
        <v>1561</v>
      </c>
      <c r="J233" s="64" t="str">
        <f>VLOOKUP(G233,'Vehicle List'!A:D,4,0)</f>
        <v>Ennore</v>
      </c>
      <c r="K233" s="64" t="s">
        <v>26</v>
      </c>
      <c r="L233" s="64" t="s">
        <v>19</v>
      </c>
      <c r="M233" s="64" t="s">
        <v>20</v>
      </c>
      <c r="N233" s="101">
        <v>0.46736111111111112</v>
      </c>
      <c r="O233" s="29" t="s">
        <v>1085</v>
      </c>
      <c r="P233" s="29" t="s">
        <v>21</v>
      </c>
    </row>
    <row r="234" spans="1:16">
      <c r="A234" s="29">
        <f t="shared" si="3"/>
        <v>233</v>
      </c>
      <c r="B234" s="75">
        <v>46090</v>
      </c>
      <c r="C234" s="63" t="s">
        <v>85</v>
      </c>
      <c r="D234" s="63" t="s">
        <v>28</v>
      </c>
      <c r="E234" s="101">
        <v>0.51527777777777772</v>
      </c>
      <c r="F234" s="64" t="str">
        <f>VLOOKUP(G234,'Vehicle List'!A:C,3,0)</f>
        <v>Rahul Roadlines</v>
      </c>
      <c r="G234" s="29" t="s">
        <v>439</v>
      </c>
      <c r="H234" s="29" t="s">
        <v>1556</v>
      </c>
      <c r="I234" s="29" t="s">
        <v>1557</v>
      </c>
      <c r="J234" s="64" t="str">
        <f>VLOOKUP(G234,'Vehicle List'!A:D,4,0)</f>
        <v>ANK</v>
      </c>
      <c r="K234" s="64" t="s">
        <v>29</v>
      </c>
      <c r="L234" s="64" t="s">
        <v>19</v>
      </c>
      <c r="M234" s="64" t="s">
        <v>19</v>
      </c>
      <c r="N234" s="101">
        <v>0.51527777777777772</v>
      </c>
      <c r="O234" s="29" t="s">
        <v>1284</v>
      </c>
      <c r="P234" s="29" t="s">
        <v>21</v>
      </c>
    </row>
    <row r="235" spans="1:16">
      <c r="A235" s="29">
        <f t="shared" si="3"/>
        <v>234</v>
      </c>
      <c r="B235" s="75">
        <v>46090</v>
      </c>
      <c r="C235" s="63" t="s">
        <v>85</v>
      </c>
      <c r="D235" s="63" t="s">
        <v>28</v>
      </c>
      <c r="E235" s="101">
        <v>0.52013888888888893</v>
      </c>
      <c r="F235" s="64" t="str">
        <f>VLOOKUP(G235,'Vehicle List'!A:C,3,0)</f>
        <v>Chaudhary Transport</v>
      </c>
      <c r="G235" s="29" t="s">
        <v>1099</v>
      </c>
      <c r="H235" s="29" t="s">
        <v>1554</v>
      </c>
      <c r="I235" s="29" t="s">
        <v>1555</v>
      </c>
      <c r="J235" s="64" t="str">
        <f>VLOOKUP(G235,'Vehicle List'!A:D,4,0)</f>
        <v>KNCP</v>
      </c>
      <c r="K235" s="64" t="s">
        <v>29</v>
      </c>
      <c r="L235" s="64" t="s">
        <v>19</v>
      </c>
      <c r="M235" s="64" t="s">
        <v>19</v>
      </c>
      <c r="N235" s="101">
        <v>0.52013888888888893</v>
      </c>
      <c r="O235" s="29" t="s">
        <v>1182</v>
      </c>
      <c r="P235" s="29" t="s">
        <v>30</v>
      </c>
    </row>
    <row r="236" spans="1:16">
      <c r="A236" s="29">
        <f t="shared" si="3"/>
        <v>235</v>
      </c>
      <c r="B236" s="75">
        <v>46090</v>
      </c>
      <c r="C236" s="63" t="s">
        <v>85</v>
      </c>
      <c r="D236" s="63" t="s">
        <v>28</v>
      </c>
      <c r="E236" s="101">
        <v>0.5708333333333333</v>
      </c>
      <c r="F236" s="64" t="str">
        <f>VLOOKUP(G236,'Vehicle List'!A:C,3,0)</f>
        <v>Rahul Roadlines</v>
      </c>
      <c r="G236" s="29" t="s">
        <v>77</v>
      </c>
      <c r="H236" s="29" t="s">
        <v>1499</v>
      </c>
      <c r="I236" s="29" t="s">
        <v>1564</v>
      </c>
      <c r="J236" s="64" t="str">
        <f>VLOOKUP(G236,'Vehicle List'!A:D,4,0)</f>
        <v>BJJ</v>
      </c>
      <c r="K236" s="64" t="s">
        <v>29</v>
      </c>
      <c r="L236" s="64" t="s">
        <v>19</v>
      </c>
      <c r="M236" s="64" t="s">
        <v>19</v>
      </c>
      <c r="N236" s="101">
        <v>0.5708333333333333</v>
      </c>
      <c r="O236" s="29" t="s">
        <v>1226</v>
      </c>
      <c r="P236" s="29" t="s">
        <v>30</v>
      </c>
    </row>
    <row r="237" spans="1:16">
      <c r="A237" s="29">
        <f t="shared" si="3"/>
        <v>236</v>
      </c>
      <c r="B237" s="75">
        <v>46090</v>
      </c>
      <c r="C237" s="63" t="s">
        <v>1268</v>
      </c>
      <c r="D237" s="63" t="s">
        <v>39</v>
      </c>
      <c r="E237" s="101">
        <v>0.59930555555555554</v>
      </c>
      <c r="F237" s="64" t="str">
        <f>VLOOKUP(G237,'Vehicle List'!A:C,3,0)</f>
        <v>Rahul Roadlines</v>
      </c>
      <c r="G237" s="29" t="s">
        <v>83</v>
      </c>
      <c r="H237" s="29" t="s">
        <v>1569</v>
      </c>
      <c r="I237" s="29" t="s">
        <v>1570</v>
      </c>
      <c r="J237" s="64" t="str">
        <f>VLOOKUP(G237,'Vehicle List'!A:D,4,0)</f>
        <v>BJJ</v>
      </c>
      <c r="K237" s="64" t="s">
        <v>29</v>
      </c>
      <c r="L237" s="64" t="s">
        <v>19</v>
      </c>
      <c r="M237" s="64" t="s">
        <v>19</v>
      </c>
      <c r="N237" s="101">
        <v>0.59930555555555554</v>
      </c>
      <c r="O237" s="29" t="s">
        <v>1571</v>
      </c>
      <c r="P237" s="29" t="s">
        <v>30</v>
      </c>
    </row>
    <row r="238" spans="1:16">
      <c r="A238" s="29">
        <f t="shared" si="3"/>
        <v>237</v>
      </c>
      <c r="B238" s="75">
        <v>46090</v>
      </c>
      <c r="C238" s="63" t="s">
        <v>1268</v>
      </c>
      <c r="D238" s="63" t="s">
        <v>39</v>
      </c>
      <c r="E238" s="101">
        <v>0.62430555555555556</v>
      </c>
      <c r="F238" s="64" t="str">
        <f>VLOOKUP(G238,'Vehicle List'!A:C,3,0)</f>
        <v>Rahul Roadlines</v>
      </c>
      <c r="G238" s="29" t="s">
        <v>95</v>
      </c>
      <c r="H238" s="29" t="s">
        <v>1451</v>
      </c>
      <c r="I238" s="29" t="s">
        <v>1439</v>
      </c>
      <c r="J238" s="64" t="str">
        <f>VLOOKUP(G238,'Vehicle List'!A:D,4,0)</f>
        <v>BJJ</v>
      </c>
      <c r="K238" s="64" t="s">
        <v>29</v>
      </c>
      <c r="L238" s="64" t="s">
        <v>19</v>
      </c>
      <c r="M238" s="64" t="s">
        <v>19</v>
      </c>
      <c r="N238" s="101">
        <v>0.62430555555555556</v>
      </c>
      <c r="O238" s="29" t="s">
        <v>1062</v>
      </c>
      <c r="P238" s="29" t="s">
        <v>30</v>
      </c>
    </row>
    <row r="239" spans="1:16">
      <c r="A239" s="29">
        <f t="shared" si="3"/>
        <v>238</v>
      </c>
      <c r="B239" s="75">
        <v>46090</v>
      </c>
      <c r="C239" s="63" t="s">
        <v>1268</v>
      </c>
      <c r="D239" s="63" t="s">
        <v>39</v>
      </c>
      <c r="E239" s="101">
        <v>0.62638888888888888</v>
      </c>
      <c r="F239" s="64" t="str">
        <f>VLOOKUP(G239,'Vehicle List'!A:C,3,0)</f>
        <v>Kongunadu Roadlines</v>
      </c>
      <c r="G239" s="29" t="s">
        <v>372</v>
      </c>
      <c r="H239" s="29" t="s">
        <v>1229</v>
      </c>
      <c r="I239" s="29" t="s">
        <v>1230</v>
      </c>
      <c r="J239" s="64" t="str">
        <f>VLOOKUP(G239,'Vehicle List'!A:D,4,0)</f>
        <v>Chittoor</v>
      </c>
      <c r="K239" s="64" t="s">
        <v>29</v>
      </c>
      <c r="L239" s="64" t="s">
        <v>19</v>
      </c>
      <c r="M239" s="64" t="s">
        <v>19</v>
      </c>
      <c r="N239" s="101">
        <v>0.62638888888888888</v>
      </c>
      <c r="O239" s="29" t="s">
        <v>1224</v>
      </c>
      <c r="P239" s="29" t="s">
        <v>30</v>
      </c>
    </row>
    <row r="240" spans="1:16">
      <c r="A240" s="29">
        <f t="shared" si="3"/>
        <v>239</v>
      </c>
      <c r="B240" s="75">
        <v>46090</v>
      </c>
      <c r="C240" s="63" t="s">
        <v>1268</v>
      </c>
      <c r="D240" s="63" t="s">
        <v>39</v>
      </c>
      <c r="E240" s="101">
        <v>0.63194444444444442</v>
      </c>
      <c r="F240" s="64" t="str">
        <f>VLOOKUP(G240,'Vehicle List'!A:C,3,0)</f>
        <v>Gas Point</v>
      </c>
      <c r="G240" s="29" t="s">
        <v>498</v>
      </c>
      <c r="H240" s="29" t="s">
        <v>1211</v>
      </c>
      <c r="I240" s="29" t="s">
        <v>1212</v>
      </c>
      <c r="J240" s="64" t="str">
        <f>VLOOKUP(G240,'Vehicle List'!A:D,4,0)</f>
        <v>Bhopal</v>
      </c>
      <c r="K240" s="64" t="s">
        <v>29</v>
      </c>
      <c r="L240" s="64" t="s">
        <v>19</v>
      </c>
      <c r="M240" s="64" t="s">
        <v>19</v>
      </c>
      <c r="N240" s="101">
        <v>0.63194444444444442</v>
      </c>
      <c r="O240" s="29" t="s">
        <v>1062</v>
      </c>
      <c r="P240" s="29" t="s">
        <v>30</v>
      </c>
    </row>
    <row r="241" spans="1:16">
      <c r="A241" s="29">
        <f t="shared" si="3"/>
        <v>240</v>
      </c>
      <c r="B241" s="75">
        <v>46090</v>
      </c>
      <c r="C241" s="63" t="s">
        <v>1268</v>
      </c>
      <c r="D241" s="63" t="s">
        <v>39</v>
      </c>
      <c r="E241" s="101">
        <v>0.58194444444444449</v>
      </c>
      <c r="F241" s="64" t="str">
        <f>VLOOKUP(G241,'Vehicle List'!A:C,3,0)</f>
        <v>Kongunadu Roadlines</v>
      </c>
      <c r="G241" s="29" t="s">
        <v>59</v>
      </c>
      <c r="H241" s="29" t="s">
        <v>1567</v>
      </c>
      <c r="I241" s="29" t="s">
        <v>1568</v>
      </c>
      <c r="J241" s="64" t="str">
        <f>VLOOKUP(G241,'Vehicle List'!A:D,4,0)</f>
        <v>Kochi</v>
      </c>
      <c r="K241" s="64" t="s">
        <v>24</v>
      </c>
      <c r="L241" s="64" t="s">
        <v>19</v>
      </c>
      <c r="M241" s="64" t="s">
        <v>20</v>
      </c>
      <c r="N241" s="101">
        <v>0.65694444444444444</v>
      </c>
      <c r="O241" s="29" t="s">
        <v>1244</v>
      </c>
      <c r="P241" s="29" t="s">
        <v>21</v>
      </c>
    </row>
    <row r="242" spans="1:16">
      <c r="A242" s="29">
        <f t="shared" si="3"/>
        <v>241</v>
      </c>
      <c r="B242" s="75">
        <v>46090</v>
      </c>
      <c r="C242" s="63" t="s">
        <v>1268</v>
      </c>
      <c r="D242" s="63" t="s">
        <v>39</v>
      </c>
      <c r="E242" s="101">
        <v>0.66388888888888886</v>
      </c>
      <c r="F242" s="64" t="str">
        <f>VLOOKUP(G242,'Vehicle List'!A:C,3,0)</f>
        <v>Gas Point</v>
      </c>
      <c r="G242" s="29" t="s">
        <v>499</v>
      </c>
      <c r="H242" s="29" t="s">
        <v>1480</v>
      </c>
      <c r="I242" s="29" t="s">
        <v>1479</v>
      </c>
      <c r="J242" s="64" t="str">
        <f>VLOOKUP(G242,'Vehicle List'!A:D,4,0)</f>
        <v>Bhopal</v>
      </c>
      <c r="K242" s="64" t="s">
        <v>29</v>
      </c>
      <c r="L242" s="64" t="s">
        <v>19</v>
      </c>
      <c r="M242" s="64" t="s">
        <v>19</v>
      </c>
      <c r="N242" s="101">
        <v>0.66388888888888886</v>
      </c>
      <c r="O242" s="29" t="s">
        <v>1463</v>
      </c>
      <c r="P242" s="29" t="s">
        <v>30</v>
      </c>
    </row>
    <row r="243" spans="1:16">
      <c r="A243" s="29">
        <f t="shared" si="3"/>
        <v>242</v>
      </c>
      <c r="B243" s="75">
        <v>46090</v>
      </c>
      <c r="C243" s="63" t="s">
        <v>1268</v>
      </c>
      <c r="D243" s="63" t="s">
        <v>39</v>
      </c>
      <c r="E243" s="101">
        <v>0.68541666666666667</v>
      </c>
      <c r="F243" s="64" t="str">
        <f>VLOOKUP(G243,'Vehicle List'!A:C,3,0)</f>
        <v>Expo Trans India Limited</v>
      </c>
      <c r="G243" s="29" t="s">
        <v>40</v>
      </c>
      <c r="H243" s="29" t="s">
        <v>1545</v>
      </c>
      <c r="I243" s="29" t="s">
        <v>1361</v>
      </c>
      <c r="J243" s="64" t="str">
        <f>VLOOKUP(G243,'Vehicle List'!A:D,4,0)</f>
        <v>Chittoor</v>
      </c>
      <c r="K243" s="64" t="s">
        <v>29</v>
      </c>
      <c r="L243" s="64" t="s">
        <v>19</v>
      </c>
      <c r="M243" s="64" t="s">
        <v>19</v>
      </c>
      <c r="N243" s="101">
        <v>0.68541666666666667</v>
      </c>
      <c r="O243" s="29" t="s">
        <v>1543</v>
      </c>
      <c r="P243" s="29" t="s">
        <v>30</v>
      </c>
    </row>
    <row r="244" spans="1:16">
      <c r="A244" s="29">
        <f t="shared" si="3"/>
        <v>243</v>
      </c>
      <c r="B244" s="75">
        <v>46090</v>
      </c>
      <c r="C244" s="63" t="s">
        <v>1268</v>
      </c>
      <c r="D244" s="63" t="s">
        <v>39</v>
      </c>
      <c r="E244" s="101">
        <v>0.74097222222222225</v>
      </c>
      <c r="F244" s="64" t="str">
        <f>VLOOKUP(G244,'Vehicle List'!A:C,3,0)</f>
        <v>Rahul Roadlines</v>
      </c>
      <c r="G244" s="29" t="s">
        <v>78</v>
      </c>
      <c r="H244" s="29" t="s">
        <v>1290</v>
      </c>
      <c r="I244" s="29" t="s">
        <v>1289</v>
      </c>
      <c r="J244" s="64" t="str">
        <f>VLOOKUP(G244,'Vehicle List'!A:D,4,0)</f>
        <v>BJJ</v>
      </c>
      <c r="K244" s="64" t="s">
        <v>29</v>
      </c>
      <c r="L244" s="64" t="s">
        <v>19</v>
      </c>
      <c r="M244" s="64" t="s">
        <v>19</v>
      </c>
      <c r="N244" s="101">
        <v>0.74097222222222225</v>
      </c>
      <c r="O244" s="29" t="s">
        <v>1062</v>
      </c>
      <c r="P244" s="29" t="s">
        <v>30</v>
      </c>
    </row>
    <row r="245" spans="1:16">
      <c r="A245" s="29">
        <f t="shared" si="3"/>
        <v>244</v>
      </c>
      <c r="B245" s="75">
        <v>46090</v>
      </c>
      <c r="C245" s="63" t="s">
        <v>1268</v>
      </c>
      <c r="D245" s="63" t="s">
        <v>39</v>
      </c>
      <c r="E245" s="101">
        <v>0.7583333333333333</v>
      </c>
      <c r="F245" s="64" t="str">
        <f>VLOOKUP(G245,'Vehicle List'!A:C,3,0)</f>
        <v>Kongunadu Roadlines</v>
      </c>
      <c r="G245" s="29" t="s">
        <v>443</v>
      </c>
      <c r="H245" s="29" t="s">
        <v>1565</v>
      </c>
      <c r="I245" s="29" t="s">
        <v>1566</v>
      </c>
      <c r="J245" s="64" t="str">
        <f>VLOOKUP(G245,'Vehicle List'!A:D,4,0)</f>
        <v>AKT</v>
      </c>
      <c r="K245" s="64" t="s">
        <v>26</v>
      </c>
      <c r="L245" s="64" t="s">
        <v>19</v>
      </c>
      <c r="M245" s="64" t="s">
        <v>20</v>
      </c>
      <c r="N245" s="101">
        <v>0.78472222222222221</v>
      </c>
      <c r="O245" s="29" t="s">
        <v>1227</v>
      </c>
      <c r="P245" s="29" t="s">
        <v>21</v>
      </c>
    </row>
    <row r="246" spans="1:16">
      <c r="A246" s="29">
        <f t="shared" si="3"/>
        <v>245</v>
      </c>
      <c r="B246" s="75">
        <v>46090</v>
      </c>
      <c r="C246" s="63" t="s">
        <v>1268</v>
      </c>
      <c r="D246" s="63" t="s">
        <v>39</v>
      </c>
      <c r="E246" s="101">
        <v>0.75763888888888886</v>
      </c>
      <c r="F246" s="64" t="str">
        <f>VLOOKUP(G246,'Vehicle List'!A:C,3,0)</f>
        <v>Kongunadu Roadlines</v>
      </c>
      <c r="G246" s="29" t="s">
        <v>570</v>
      </c>
      <c r="H246" s="29" t="s">
        <v>1282</v>
      </c>
      <c r="I246" s="29" t="s">
        <v>1283</v>
      </c>
      <c r="J246" s="64" t="str">
        <f>VLOOKUP(G246,'Vehicle List'!A:D,4,0)</f>
        <v>AKT</v>
      </c>
      <c r="K246" s="64" t="s">
        <v>26</v>
      </c>
      <c r="L246" s="64" t="s">
        <v>19</v>
      </c>
      <c r="M246" s="64" t="s">
        <v>20</v>
      </c>
      <c r="N246" s="101">
        <v>0.83819444444444446</v>
      </c>
      <c r="O246" s="29" t="s">
        <v>1227</v>
      </c>
      <c r="P246" s="29" t="s">
        <v>21</v>
      </c>
    </row>
    <row r="247" spans="1:16">
      <c r="A247" s="29">
        <f t="shared" si="3"/>
        <v>246</v>
      </c>
      <c r="B247" s="75">
        <v>46090</v>
      </c>
      <c r="C247" s="63" t="s">
        <v>27</v>
      </c>
      <c r="D247" s="63" t="s">
        <v>16</v>
      </c>
      <c r="E247" s="101">
        <v>0.93055555555555558</v>
      </c>
      <c r="F247" s="64" t="str">
        <f>VLOOKUP(G247,'Vehicle List'!A:C,3,0)</f>
        <v>Velan Gogreen Logistics Pvt Ltd</v>
      </c>
      <c r="G247" s="29" t="s">
        <v>34</v>
      </c>
      <c r="H247" s="29" t="s">
        <v>1524</v>
      </c>
      <c r="I247" s="29" t="s">
        <v>1523</v>
      </c>
      <c r="J247" s="64" t="str">
        <f>VLOOKUP(G247,'Vehicle List'!A:D,4,0)</f>
        <v>KNCP</v>
      </c>
      <c r="K247" s="64" t="s">
        <v>29</v>
      </c>
      <c r="L247" s="64" t="s">
        <v>19</v>
      </c>
      <c r="M247" s="64" t="s">
        <v>19</v>
      </c>
      <c r="N247" s="101">
        <v>0.93055555555555558</v>
      </c>
      <c r="O247" s="29" t="s">
        <v>1553</v>
      </c>
      <c r="P247" s="29" t="s">
        <v>30</v>
      </c>
    </row>
    <row r="248" spans="1:16">
      <c r="A248" s="29">
        <f t="shared" si="3"/>
        <v>247</v>
      </c>
      <c r="B248" s="75">
        <v>46090</v>
      </c>
      <c r="C248" s="63" t="s">
        <v>27</v>
      </c>
      <c r="D248" s="63" t="s">
        <v>16</v>
      </c>
      <c r="E248" s="101">
        <v>0.93958333333333333</v>
      </c>
      <c r="F248" s="64" t="str">
        <f>VLOOKUP(G248,'Vehicle List'!A:C,3,0)</f>
        <v>Kongunadu Roadlines</v>
      </c>
      <c r="G248" s="29" t="s">
        <v>99</v>
      </c>
      <c r="H248" s="29" t="s">
        <v>1200</v>
      </c>
      <c r="I248" s="29" t="s">
        <v>1199</v>
      </c>
      <c r="J248" s="64" t="str">
        <f>VLOOKUP(G248,'Vehicle List'!A:D,4,0)</f>
        <v>Ennore</v>
      </c>
      <c r="K248" s="64" t="s">
        <v>29</v>
      </c>
      <c r="L248" s="64" t="s">
        <v>19</v>
      </c>
      <c r="M248" s="64" t="s">
        <v>19</v>
      </c>
      <c r="N248" s="101">
        <v>0.93958333333333333</v>
      </c>
      <c r="O248" s="29" t="s">
        <v>1578</v>
      </c>
      <c r="P248" s="29" t="s">
        <v>30</v>
      </c>
    </row>
    <row r="249" spans="1:16">
      <c r="A249" s="29">
        <f t="shared" si="3"/>
        <v>248</v>
      </c>
      <c r="B249" s="75">
        <v>46090</v>
      </c>
      <c r="C249" s="63" t="s">
        <v>27</v>
      </c>
      <c r="D249" s="63" t="s">
        <v>16</v>
      </c>
      <c r="E249" s="101">
        <v>0.9555555555555556</v>
      </c>
      <c r="F249" s="64" t="str">
        <f>VLOOKUP(G249,'Vehicle List'!A:C,3,0)</f>
        <v>Rahul Roadlines</v>
      </c>
      <c r="G249" s="29" t="s">
        <v>77</v>
      </c>
      <c r="H249" s="29" t="s">
        <v>1348</v>
      </c>
      <c r="I249" s="29" t="s">
        <v>1347</v>
      </c>
      <c r="J249" s="64" t="str">
        <f>VLOOKUP(G249,'Vehicle List'!A:D,4,0)</f>
        <v>BJJ</v>
      </c>
      <c r="K249" s="64" t="s">
        <v>29</v>
      </c>
      <c r="L249" s="64" t="s">
        <v>19</v>
      </c>
      <c r="M249" s="64" t="s">
        <v>19</v>
      </c>
      <c r="N249" s="101">
        <v>0.9555555555555556</v>
      </c>
      <c r="O249" s="29" t="s">
        <v>1226</v>
      </c>
      <c r="P249" s="29" t="s">
        <v>30</v>
      </c>
    </row>
    <row r="250" spans="1:16">
      <c r="A250" s="29">
        <f t="shared" si="3"/>
        <v>249</v>
      </c>
      <c r="B250" s="75">
        <v>46091</v>
      </c>
      <c r="C250" s="63" t="s">
        <v>27</v>
      </c>
      <c r="D250" s="63" t="s">
        <v>16</v>
      </c>
      <c r="E250" s="101">
        <v>4.583333333333333E-2</v>
      </c>
      <c r="F250" s="64" t="str">
        <f>VLOOKUP(G250,'Vehicle List'!A:C,3,0)</f>
        <v>Rahul Roadlines</v>
      </c>
      <c r="G250" s="29" t="s">
        <v>438</v>
      </c>
      <c r="H250" s="29" t="s">
        <v>1576</v>
      </c>
      <c r="I250" s="29" t="s">
        <v>1575</v>
      </c>
      <c r="J250" s="64" t="str">
        <f>VLOOKUP(G250,'Vehicle List'!A:D,4,0)</f>
        <v>ANK</v>
      </c>
      <c r="K250" s="64" t="s">
        <v>1173</v>
      </c>
      <c r="L250" s="64" t="s">
        <v>19</v>
      </c>
      <c r="M250" s="64" t="s">
        <v>20</v>
      </c>
      <c r="N250" s="101">
        <v>7.7777777777777779E-2</v>
      </c>
      <c r="O250" s="29" t="s">
        <v>1351</v>
      </c>
      <c r="P250" s="29" t="s">
        <v>21</v>
      </c>
    </row>
    <row r="251" spans="1:16">
      <c r="A251" s="29">
        <f t="shared" si="3"/>
        <v>250</v>
      </c>
      <c r="B251" s="75">
        <v>46091</v>
      </c>
      <c r="C251" s="63" t="s">
        <v>27</v>
      </c>
      <c r="D251" s="63" t="s">
        <v>16</v>
      </c>
      <c r="E251" s="101">
        <v>9.6527777777777782E-2</v>
      </c>
      <c r="F251" s="64" t="str">
        <f>VLOOKUP(G251,'Vehicle List'!A:C,3,0)</f>
        <v>Suraj Tour &amp; Travels</v>
      </c>
      <c r="G251" s="29" t="s">
        <v>360</v>
      </c>
      <c r="H251" s="29" t="s">
        <v>1574</v>
      </c>
      <c r="I251" s="29" t="s">
        <v>1573</v>
      </c>
      <c r="J251" s="64" t="str">
        <f>VLOOKUP(G251,'Vehicle List'!A:D,4,0)</f>
        <v>BJJ</v>
      </c>
      <c r="K251" s="64" t="s">
        <v>26</v>
      </c>
      <c r="L251" s="64" t="s">
        <v>19</v>
      </c>
      <c r="M251" s="64" t="s">
        <v>20</v>
      </c>
      <c r="N251" s="101">
        <v>0.15</v>
      </c>
      <c r="O251" s="29" t="s">
        <v>1078</v>
      </c>
      <c r="P251" s="29" t="s">
        <v>21</v>
      </c>
    </row>
    <row r="252" spans="1:16">
      <c r="A252" s="29">
        <f t="shared" si="3"/>
        <v>251</v>
      </c>
      <c r="B252" s="75">
        <v>46091</v>
      </c>
      <c r="C252" s="63" t="s">
        <v>27</v>
      </c>
      <c r="D252" s="63" t="s">
        <v>16</v>
      </c>
      <c r="E252" s="101">
        <v>0.23402777777777778</v>
      </c>
      <c r="F252" s="64" t="str">
        <f>VLOOKUP(G252,'Vehicle List'!A:C,3,0)</f>
        <v>Chaudhary Transport</v>
      </c>
      <c r="G252" s="29" t="s">
        <v>1163</v>
      </c>
      <c r="H252" s="29" t="s">
        <v>1581</v>
      </c>
      <c r="I252" s="31" t="s">
        <v>1582</v>
      </c>
      <c r="J252" s="64" t="str">
        <f>VLOOKUP(G252,'Vehicle List'!A:D,4,0)</f>
        <v>KNV</v>
      </c>
      <c r="K252" s="64" t="s">
        <v>18</v>
      </c>
      <c r="L252" s="64" t="s">
        <v>19</v>
      </c>
      <c r="M252" s="64" t="s">
        <v>20</v>
      </c>
      <c r="N252" s="101">
        <v>0.31736111111111109</v>
      </c>
      <c r="O252" s="29" t="s">
        <v>1577</v>
      </c>
      <c r="P252" s="29" t="s">
        <v>21</v>
      </c>
    </row>
    <row r="253" spans="1:16">
      <c r="A253" s="29">
        <f t="shared" si="3"/>
        <v>252</v>
      </c>
      <c r="B253" s="75">
        <v>46091</v>
      </c>
      <c r="C253" s="63" t="s">
        <v>1268</v>
      </c>
      <c r="D253" s="63" t="s">
        <v>28</v>
      </c>
      <c r="E253" s="101">
        <v>0.27291666666666664</v>
      </c>
      <c r="F253" s="64" t="str">
        <f>VLOOKUP(G253,'Vehicle List'!A:C,3,0)</f>
        <v>Dhinesh Transports</v>
      </c>
      <c r="G253" s="29" t="s">
        <v>398</v>
      </c>
      <c r="H253" s="29" t="s">
        <v>1591</v>
      </c>
      <c r="I253" s="29" t="s">
        <v>1592</v>
      </c>
      <c r="J253" s="64" t="str">
        <f>VLOOKUP(G253,'Vehicle List'!A:D,4,0)</f>
        <v>KNCP</v>
      </c>
      <c r="K253" s="64" t="s">
        <v>29</v>
      </c>
      <c r="L253" s="64" t="s">
        <v>19</v>
      </c>
      <c r="M253" s="64" t="s">
        <v>19</v>
      </c>
      <c r="N253" s="101">
        <v>0.27291666666666664</v>
      </c>
      <c r="O253" s="29" t="s">
        <v>1284</v>
      </c>
      <c r="P253" s="29" t="s">
        <v>30</v>
      </c>
    </row>
    <row r="254" spans="1:16">
      <c r="A254" s="29">
        <f t="shared" si="3"/>
        <v>253</v>
      </c>
      <c r="B254" s="75">
        <v>46091</v>
      </c>
      <c r="C254" s="63" t="s">
        <v>1268</v>
      </c>
      <c r="D254" s="63" t="s">
        <v>28</v>
      </c>
      <c r="E254" s="101">
        <v>0.27569444444444446</v>
      </c>
      <c r="F254" s="64" t="str">
        <f>VLOOKUP(G254,'Vehicle List'!A:C,3,0)</f>
        <v>Kongunadu Roadlines</v>
      </c>
      <c r="G254" s="29" t="s">
        <v>599</v>
      </c>
      <c r="H254" s="29" t="s">
        <v>1507</v>
      </c>
      <c r="I254" s="29" t="s">
        <v>1508</v>
      </c>
      <c r="J254" s="64" t="str">
        <f>VLOOKUP(G254,'Vehicle List'!A:D,4,0)</f>
        <v>Kochi</v>
      </c>
      <c r="K254" s="64" t="s">
        <v>29</v>
      </c>
      <c r="L254" s="64" t="s">
        <v>19</v>
      </c>
      <c r="M254" s="64" t="s">
        <v>19</v>
      </c>
      <c r="N254" s="101">
        <v>0.27569444444444446</v>
      </c>
      <c r="O254" s="29" t="s">
        <v>1182</v>
      </c>
      <c r="P254" s="29" t="s">
        <v>21</v>
      </c>
    </row>
    <row r="255" spans="1:16">
      <c r="A255" s="29">
        <f t="shared" si="3"/>
        <v>254</v>
      </c>
      <c r="B255" s="75">
        <v>46091</v>
      </c>
      <c r="C255" s="63" t="s">
        <v>1268</v>
      </c>
      <c r="D255" s="63" t="s">
        <v>28</v>
      </c>
      <c r="E255" s="101">
        <v>0.27013888888888887</v>
      </c>
      <c r="F255" s="64" t="str">
        <f>VLOOKUP(G255,'Vehicle List'!A:C,3,0)</f>
        <v>Anmol Transport</v>
      </c>
      <c r="G255" s="29" t="s">
        <v>563</v>
      </c>
      <c r="H255" s="29" t="s">
        <v>1589</v>
      </c>
      <c r="I255" s="31" t="s">
        <v>1590</v>
      </c>
      <c r="J255" s="64" t="str">
        <f>VLOOKUP(G255,'Vehicle List'!A:D,4,0)</f>
        <v>Jalandhar</v>
      </c>
      <c r="K255" s="64" t="s">
        <v>18</v>
      </c>
      <c r="L255" s="64" t="s">
        <v>19</v>
      </c>
      <c r="M255" s="64" t="s">
        <v>20</v>
      </c>
      <c r="N255" s="101">
        <v>0.35208333333333336</v>
      </c>
      <c r="O255" s="29" t="s">
        <v>1204</v>
      </c>
      <c r="P255" s="29" t="s">
        <v>21</v>
      </c>
    </row>
    <row r="256" spans="1:16">
      <c r="A256" s="29">
        <f t="shared" si="3"/>
        <v>255</v>
      </c>
      <c r="B256" s="75">
        <v>46091</v>
      </c>
      <c r="C256" s="63" t="s">
        <v>1268</v>
      </c>
      <c r="D256" s="63" t="s">
        <v>28</v>
      </c>
      <c r="E256" s="101">
        <v>0.28888888888888886</v>
      </c>
      <c r="F256" s="64" t="str">
        <f>VLOOKUP(G256,'Vehicle List'!A:C,3,0)</f>
        <v>Velan Gogreen Logistics Pvt Ltd</v>
      </c>
      <c r="G256" s="29" t="s">
        <v>404</v>
      </c>
      <c r="H256" s="29" t="s">
        <v>1336</v>
      </c>
      <c r="I256" s="29" t="s">
        <v>1335</v>
      </c>
      <c r="J256" s="64" t="str">
        <f>VLOOKUP(G256,'Vehicle List'!A:D,4,0)</f>
        <v>KNCP</v>
      </c>
      <c r="K256" s="64" t="s">
        <v>29</v>
      </c>
      <c r="L256" s="64" t="s">
        <v>19</v>
      </c>
      <c r="M256" s="64" t="s">
        <v>19</v>
      </c>
      <c r="N256" s="101">
        <v>0.28888888888888886</v>
      </c>
      <c r="O256" s="29" t="s">
        <v>1195</v>
      </c>
      <c r="P256" s="29" t="s">
        <v>30</v>
      </c>
    </row>
    <row r="257" spans="1:16">
      <c r="A257" s="29">
        <f t="shared" si="3"/>
        <v>256</v>
      </c>
      <c r="B257" s="75">
        <v>46091</v>
      </c>
      <c r="C257" s="63" t="s">
        <v>1268</v>
      </c>
      <c r="D257" s="63" t="s">
        <v>28</v>
      </c>
      <c r="E257" s="101">
        <v>0.29444444444444445</v>
      </c>
      <c r="F257" s="64" t="str">
        <f>VLOOKUP(G257,'Vehicle List'!A:C,3,0)</f>
        <v>Oraya Gas India Pvt.Ltd.</v>
      </c>
      <c r="G257" s="29" t="s">
        <v>45</v>
      </c>
      <c r="H257" s="29" t="s">
        <v>1276</v>
      </c>
      <c r="I257" s="29" t="s">
        <v>1277</v>
      </c>
      <c r="J257" s="64" t="str">
        <f>VLOOKUP(G257,'Vehicle List'!A:D,4,0)</f>
        <v>Kochi</v>
      </c>
      <c r="K257" s="64" t="s">
        <v>29</v>
      </c>
      <c r="L257" s="64" t="s">
        <v>19</v>
      </c>
      <c r="M257" s="64" t="s">
        <v>19</v>
      </c>
      <c r="N257" s="101">
        <v>0.29444444444444445</v>
      </c>
      <c r="O257" s="29" t="s">
        <v>1062</v>
      </c>
      <c r="P257" s="29" t="s">
        <v>30</v>
      </c>
    </row>
    <row r="258" spans="1:16">
      <c r="A258" s="29">
        <f t="shared" si="3"/>
        <v>257</v>
      </c>
      <c r="B258" s="75">
        <v>46091</v>
      </c>
      <c r="C258" s="63" t="s">
        <v>1268</v>
      </c>
      <c r="D258" s="63" t="s">
        <v>28</v>
      </c>
      <c r="E258" s="101">
        <v>0.33333333333333331</v>
      </c>
      <c r="F258" s="64" t="str">
        <f>VLOOKUP(G258,'Vehicle List'!A:C,3,0)</f>
        <v>Rahul Roadlines</v>
      </c>
      <c r="G258" s="29" t="s">
        <v>77</v>
      </c>
      <c r="H258" s="29" t="s">
        <v>1348</v>
      </c>
      <c r="I258" s="29" t="s">
        <v>1347</v>
      </c>
      <c r="J258" s="64" t="str">
        <f>VLOOKUP(G258,'Vehicle List'!A:D,4,0)</f>
        <v>BJJ</v>
      </c>
      <c r="K258" s="64" t="s">
        <v>29</v>
      </c>
      <c r="L258" s="64" t="s">
        <v>19</v>
      </c>
      <c r="M258" s="64" t="s">
        <v>19</v>
      </c>
      <c r="N258" s="101">
        <v>0.33333333333333331</v>
      </c>
      <c r="O258" s="29" t="s">
        <v>1226</v>
      </c>
      <c r="P258" s="29" t="s">
        <v>30</v>
      </c>
    </row>
    <row r="259" spans="1:16">
      <c r="A259" s="29">
        <f t="shared" ref="A259:A322" si="4">A258+1</f>
        <v>258</v>
      </c>
      <c r="B259" s="75">
        <v>46091</v>
      </c>
      <c r="C259" s="63" t="s">
        <v>1268</v>
      </c>
      <c r="D259" s="63" t="s">
        <v>28</v>
      </c>
      <c r="E259" s="101">
        <v>0.33541666666666664</v>
      </c>
      <c r="F259" s="64" t="str">
        <f>VLOOKUP(G259,'Vehicle List'!A:C,3,0)</f>
        <v>Kongunadu Roadlines</v>
      </c>
      <c r="G259" s="29" t="s">
        <v>397</v>
      </c>
      <c r="H259" s="29" t="s">
        <v>1587</v>
      </c>
      <c r="I259" s="29" t="s">
        <v>1588</v>
      </c>
      <c r="J259" s="64" t="str">
        <f>VLOOKUP(G259,'Vehicle List'!A:D,4,0)</f>
        <v>KNCP</v>
      </c>
      <c r="K259" s="64" t="s">
        <v>29</v>
      </c>
      <c r="L259" s="64" t="s">
        <v>19</v>
      </c>
      <c r="M259" s="64" t="s">
        <v>19</v>
      </c>
      <c r="N259" s="101">
        <v>0.33541666666666664</v>
      </c>
      <c r="O259" s="29" t="s">
        <v>1284</v>
      </c>
      <c r="P259" s="29" t="s">
        <v>30</v>
      </c>
    </row>
    <row r="260" spans="1:16">
      <c r="A260" s="29">
        <f t="shared" si="4"/>
        <v>259</v>
      </c>
      <c r="B260" s="75">
        <v>46091</v>
      </c>
      <c r="C260" s="63" t="s">
        <v>1268</v>
      </c>
      <c r="D260" s="63" t="s">
        <v>28</v>
      </c>
      <c r="E260" s="101">
        <v>0.36944444444444446</v>
      </c>
      <c r="F260" s="64" t="str">
        <f>VLOOKUP(G260,'Vehicle List'!A:C,3,0)</f>
        <v>Rahul Roadlines</v>
      </c>
      <c r="G260" s="29" t="s">
        <v>95</v>
      </c>
      <c r="H260" s="29" t="s">
        <v>1451</v>
      </c>
      <c r="I260" s="29" t="s">
        <v>1439</v>
      </c>
      <c r="J260" s="64" t="str">
        <f>VLOOKUP(G260,'Vehicle List'!A:D,4,0)</f>
        <v>BJJ</v>
      </c>
      <c r="K260" s="64" t="s">
        <v>29</v>
      </c>
      <c r="L260" s="64" t="s">
        <v>19</v>
      </c>
      <c r="M260" s="64" t="s">
        <v>19</v>
      </c>
      <c r="N260" s="101">
        <v>0.36944444444444446</v>
      </c>
      <c r="O260" s="29" t="s">
        <v>1062</v>
      </c>
      <c r="P260" s="29" t="s">
        <v>30</v>
      </c>
    </row>
    <row r="261" spans="1:16">
      <c r="A261" s="29">
        <f t="shared" si="4"/>
        <v>260</v>
      </c>
      <c r="B261" s="75">
        <v>46091</v>
      </c>
      <c r="C261" s="63" t="s">
        <v>1268</v>
      </c>
      <c r="D261" s="63" t="s">
        <v>28</v>
      </c>
      <c r="E261" s="101">
        <v>0.36319444444444443</v>
      </c>
      <c r="F261" s="64" t="str">
        <f>VLOOKUP(G261,'Vehicle List'!A:C,3,0)</f>
        <v>Expo Trans India Limited</v>
      </c>
      <c r="G261" s="29" t="s">
        <v>1107</v>
      </c>
      <c r="H261" s="29" t="s">
        <v>1585</v>
      </c>
      <c r="I261" s="31" t="s">
        <v>1586</v>
      </c>
      <c r="J261" s="64" t="str">
        <f>VLOOKUP(G261,'Vehicle List'!A:D,4,0)</f>
        <v>Dahej</v>
      </c>
      <c r="K261" s="64" t="s">
        <v>18</v>
      </c>
      <c r="L261" s="64" t="s">
        <v>19</v>
      </c>
      <c r="M261" s="64" t="s">
        <v>20</v>
      </c>
      <c r="N261" s="101">
        <v>0.38124999999999998</v>
      </c>
      <c r="O261" s="29" t="s">
        <v>1124</v>
      </c>
      <c r="P261" s="29" t="s">
        <v>21</v>
      </c>
    </row>
    <row r="262" spans="1:16">
      <c r="A262" s="29">
        <f t="shared" si="4"/>
        <v>261</v>
      </c>
      <c r="B262" s="75">
        <v>46091</v>
      </c>
      <c r="C262" s="63" t="s">
        <v>1268</v>
      </c>
      <c r="D262" s="63" t="s">
        <v>28</v>
      </c>
      <c r="E262" s="101">
        <v>0.38958333333333334</v>
      </c>
      <c r="F262" s="64" t="str">
        <f>VLOOKUP(G262,'Vehicle List'!A:C,3,0)</f>
        <v>Gas Point</v>
      </c>
      <c r="G262" s="29" t="s">
        <v>496</v>
      </c>
      <c r="H262" s="29" t="s">
        <v>1583</v>
      </c>
      <c r="I262" s="29" t="s">
        <v>1584</v>
      </c>
      <c r="J262" s="64" t="str">
        <f>VLOOKUP(G262,'Vehicle List'!A:D,4,0)</f>
        <v>Bhopal</v>
      </c>
      <c r="K262" s="64" t="s">
        <v>29</v>
      </c>
      <c r="L262" s="64" t="s">
        <v>19</v>
      </c>
      <c r="M262" s="64" t="s">
        <v>19</v>
      </c>
      <c r="N262" s="101">
        <v>0.38958333333333334</v>
      </c>
      <c r="O262" s="29" t="s">
        <v>1284</v>
      </c>
      <c r="P262" s="29" t="s">
        <v>30</v>
      </c>
    </row>
    <row r="263" spans="1:16">
      <c r="A263" s="29">
        <f t="shared" si="4"/>
        <v>262</v>
      </c>
      <c r="B263" s="75">
        <v>46091</v>
      </c>
      <c r="C263" s="63" t="s">
        <v>1268</v>
      </c>
      <c r="D263" s="63" t="s">
        <v>28</v>
      </c>
      <c r="E263" s="101">
        <v>0.37361111111111112</v>
      </c>
      <c r="F263" s="64" t="str">
        <f>VLOOKUP(G263,'Vehicle List'!A:C,3,0)</f>
        <v>Gas Point</v>
      </c>
      <c r="G263" s="29" t="s">
        <v>496</v>
      </c>
      <c r="H263" s="29" t="s">
        <v>1583</v>
      </c>
      <c r="I263" s="31" t="s">
        <v>1584</v>
      </c>
      <c r="J263" s="64" t="str">
        <f>VLOOKUP(G263,'Vehicle List'!A:D,4,0)</f>
        <v>Bhopal</v>
      </c>
      <c r="K263" s="64" t="s">
        <v>26</v>
      </c>
      <c r="L263" s="64" t="s">
        <v>19</v>
      </c>
      <c r="M263" s="64" t="s">
        <v>20</v>
      </c>
      <c r="N263" s="101">
        <v>0.4375</v>
      </c>
      <c r="O263" s="29" t="s">
        <v>1096</v>
      </c>
      <c r="P263" s="29" t="s">
        <v>21</v>
      </c>
    </row>
    <row r="264" spans="1:16">
      <c r="A264" s="29">
        <f t="shared" si="4"/>
        <v>263</v>
      </c>
      <c r="B264" s="75">
        <v>46091</v>
      </c>
      <c r="C264" s="63" t="s">
        <v>1268</v>
      </c>
      <c r="D264" s="63" t="s">
        <v>28</v>
      </c>
      <c r="E264" s="101">
        <v>0.37222222222222223</v>
      </c>
      <c r="F264" s="64" t="str">
        <f>VLOOKUP(G264,'Vehicle List'!A:C,3,0)</f>
        <v>Kongunadu Roadlines</v>
      </c>
      <c r="G264" s="29" t="s">
        <v>570</v>
      </c>
      <c r="H264" s="29" t="s">
        <v>1604</v>
      </c>
      <c r="I264" s="29" t="s">
        <v>1283</v>
      </c>
      <c r="J264" s="64" t="str">
        <f>VLOOKUP(G264,'Vehicle List'!A:D,4,0)</f>
        <v>AKT</v>
      </c>
      <c r="K264" s="64" t="s">
        <v>24</v>
      </c>
      <c r="L264" s="64" t="s">
        <v>19</v>
      </c>
      <c r="M264" s="64" t="s">
        <v>20</v>
      </c>
      <c r="N264" s="101">
        <v>0.44236111111111109</v>
      </c>
      <c r="O264" s="29" t="s">
        <v>1227</v>
      </c>
      <c r="P264" s="29" t="s">
        <v>21</v>
      </c>
    </row>
    <row r="265" spans="1:16">
      <c r="A265" s="29">
        <f t="shared" si="4"/>
        <v>264</v>
      </c>
      <c r="B265" s="75">
        <v>46091</v>
      </c>
      <c r="C265" s="63" t="s">
        <v>1268</v>
      </c>
      <c r="D265" s="63" t="s">
        <v>28</v>
      </c>
      <c r="E265" s="101">
        <v>0.4909722222222222</v>
      </c>
      <c r="F265" s="64" t="str">
        <f>VLOOKUP(G265,'Vehicle List'!A:C,3,0)</f>
        <v>Sritransways Logistics</v>
      </c>
      <c r="G265" s="29" t="s">
        <v>86</v>
      </c>
      <c r="H265" s="29" t="s">
        <v>1509</v>
      </c>
      <c r="I265" s="29" t="s">
        <v>1510</v>
      </c>
      <c r="J265" s="64" t="str">
        <f>VLOOKUP(G265,'Vehicle List'!A:D,4,0)</f>
        <v>AKT</v>
      </c>
      <c r="K265" s="64" t="s">
        <v>29</v>
      </c>
      <c r="L265" s="64" t="s">
        <v>19</v>
      </c>
      <c r="M265" s="64" t="s">
        <v>19</v>
      </c>
      <c r="N265" s="101">
        <v>0.4909722222222222</v>
      </c>
      <c r="O265" s="29" t="s">
        <v>1543</v>
      </c>
      <c r="P265" s="29" t="s">
        <v>30</v>
      </c>
    </row>
    <row r="266" spans="1:16">
      <c r="A266" s="29">
        <f t="shared" si="4"/>
        <v>265</v>
      </c>
      <c r="B266" s="75">
        <v>46091</v>
      </c>
      <c r="C266" s="63" t="s">
        <v>1268</v>
      </c>
      <c r="D266" s="63" t="s">
        <v>28</v>
      </c>
      <c r="E266" s="101">
        <v>0.5395833333333333</v>
      </c>
      <c r="F266" s="64" t="str">
        <f>VLOOKUP(G266,'Vehicle List'!A:C,3,0)</f>
        <v>Expo Trans India Limited</v>
      </c>
      <c r="G266" s="29" t="s">
        <v>40</v>
      </c>
      <c r="H266" s="29" t="s">
        <v>1545</v>
      </c>
      <c r="I266" s="29" t="s">
        <v>1361</v>
      </c>
      <c r="J266" s="64" t="str">
        <f>VLOOKUP(G266,'Vehicle List'!A:D,4,0)</f>
        <v>Chittoor</v>
      </c>
      <c r="K266" s="64" t="s">
        <v>29</v>
      </c>
      <c r="L266" s="64" t="s">
        <v>19</v>
      </c>
      <c r="M266" s="64" t="s">
        <v>19</v>
      </c>
      <c r="N266" s="101">
        <v>0.5395833333333333</v>
      </c>
      <c r="O266" s="29" t="s">
        <v>1543</v>
      </c>
      <c r="P266" s="29" t="s">
        <v>30</v>
      </c>
    </row>
    <row r="267" spans="1:16">
      <c r="A267" s="29">
        <f t="shared" si="4"/>
        <v>266</v>
      </c>
      <c r="B267" s="75">
        <v>46091</v>
      </c>
      <c r="C267" s="63" t="s">
        <v>1268</v>
      </c>
      <c r="D267" s="63" t="s">
        <v>28</v>
      </c>
      <c r="E267" s="101">
        <v>0.5756944444444444</v>
      </c>
      <c r="F267" s="64" t="str">
        <f>VLOOKUP(G267,'Vehicle List'!A:C,3,0)</f>
        <v>Kongunadu Roadlines</v>
      </c>
      <c r="G267" s="29" t="s">
        <v>99</v>
      </c>
      <c r="H267" s="29" t="s">
        <v>1200</v>
      </c>
      <c r="I267" s="29" t="s">
        <v>1199</v>
      </c>
      <c r="J267" s="64" t="str">
        <f>VLOOKUP(G267,'Vehicle List'!A:D,4,0)</f>
        <v>Ennore</v>
      </c>
      <c r="K267" s="64" t="s">
        <v>29</v>
      </c>
      <c r="L267" s="64" t="s">
        <v>19</v>
      </c>
      <c r="M267" s="64" t="s">
        <v>19</v>
      </c>
      <c r="N267" s="101">
        <v>0.5756944444444444</v>
      </c>
      <c r="O267" s="29" t="s">
        <v>1594</v>
      </c>
      <c r="P267" s="29" t="s">
        <v>30</v>
      </c>
    </row>
    <row r="268" spans="1:16">
      <c r="A268" s="29">
        <f t="shared" si="4"/>
        <v>267</v>
      </c>
      <c r="B268" s="75">
        <v>46091</v>
      </c>
      <c r="C268" s="63" t="s">
        <v>85</v>
      </c>
      <c r="D268" s="63" t="s">
        <v>39</v>
      </c>
      <c r="E268" s="101">
        <v>0.62777777777777777</v>
      </c>
      <c r="F268" s="64" t="str">
        <f>VLOOKUP(G268,'Vehicle List'!A:C,3,0)</f>
        <v>Kongunadu Roadlines</v>
      </c>
      <c r="G268" s="29" t="s">
        <v>36</v>
      </c>
      <c r="H268" s="29" t="s">
        <v>1596</v>
      </c>
      <c r="I268" s="29" t="s">
        <v>1370</v>
      </c>
      <c r="J268" s="64" t="str">
        <f>VLOOKUP(G268,'Vehicle List'!A:D,4,0)</f>
        <v>KNCP</v>
      </c>
      <c r="K268" s="64" t="s">
        <v>29</v>
      </c>
      <c r="L268" s="64" t="s">
        <v>19</v>
      </c>
      <c r="M268" s="64" t="s">
        <v>19</v>
      </c>
      <c r="N268" s="101">
        <v>0.62777777777777777</v>
      </c>
      <c r="O268" s="29" t="s">
        <v>1553</v>
      </c>
      <c r="P268" s="29" t="s">
        <v>30</v>
      </c>
    </row>
    <row r="269" spans="1:16">
      <c r="A269" s="29">
        <f t="shared" si="4"/>
        <v>268</v>
      </c>
      <c r="B269" s="75">
        <v>46091</v>
      </c>
      <c r="C269" s="63" t="s">
        <v>85</v>
      </c>
      <c r="D269" s="63" t="s">
        <v>39</v>
      </c>
      <c r="E269" s="101">
        <v>0.63402777777777775</v>
      </c>
      <c r="F269" s="64" t="str">
        <f>VLOOKUP(G269,'Vehicle List'!A:C,3,0)</f>
        <v>Expo Trans India Limited</v>
      </c>
      <c r="G269" s="29" t="s">
        <v>304</v>
      </c>
      <c r="H269" s="29" t="s">
        <v>1485</v>
      </c>
      <c r="I269" s="29" t="s">
        <v>1484</v>
      </c>
      <c r="J269" s="64" t="str">
        <f>VLOOKUP(G269,'Vehicle List'!A:D,4,0)</f>
        <v>ANK</v>
      </c>
      <c r="K269" s="64" t="s">
        <v>29</v>
      </c>
      <c r="L269" s="64" t="s">
        <v>19</v>
      </c>
      <c r="M269" s="64" t="s">
        <v>19</v>
      </c>
      <c r="N269" s="101">
        <v>0.63402777777777775</v>
      </c>
      <c r="O269" s="29" t="s">
        <v>1529</v>
      </c>
      <c r="P269" s="29" t="s">
        <v>30</v>
      </c>
    </row>
    <row r="270" spans="1:16">
      <c r="A270" s="29">
        <f t="shared" si="4"/>
        <v>269</v>
      </c>
      <c r="B270" s="75">
        <v>46091</v>
      </c>
      <c r="C270" s="63" t="s">
        <v>85</v>
      </c>
      <c r="D270" s="63" t="s">
        <v>39</v>
      </c>
      <c r="E270" s="101">
        <v>0.65138888888888891</v>
      </c>
      <c r="F270" s="64" t="str">
        <f>VLOOKUP(G270,'Vehicle List'!A:C,3,0)</f>
        <v>Expo Trans India Limited</v>
      </c>
      <c r="G270" s="29" t="s">
        <v>293</v>
      </c>
      <c r="H270" s="29" t="s">
        <v>1597</v>
      </c>
      <c r="I270" s="29" t="s">
        <v>1598</v>
      </c>
      <c r="J270" s="64" t="str">
        <f>VLOOKUP(G270,'Vehicle List'!A:D,4,0)</f>
        <v>MMC</v>
      </c>
      <c r="K270" s="64" t="s">
        <v>29</v>
      </c>
      <c r="L270" s="64" t="s">
        <v>19</v>
      </c>
      <c r="M270" s="64" t="s">
        <v>19</v>
      </c>
      <c r="N270" s="101">
        <v>0.65138888888888891</v>
      </c>
      <c r="O270" s="29" t="s">
        <v>1224</v>
      </c>
      <c r="P270" s="29" t="s">
        <v>21</v>
      </c>
    </row>
    <row r="271" spans="1:16">
      <c r="A271" s="29">
        <f t="shared" si="4"/>
        <v>270</v>
      </c>
      <c r="B271" s="75">
        <v>46091</v>
      </c>
      <c r="C271" s="63" t="s">
        <v>85</v>
      </c>
      <c r="D271" s="63" t="s">
        <v>39</v>
      </c>
      <c r="E271" s="101">
        <v>0.63472222222222219</v>
      </c>
      <c r="F271" s="64" t="str">
        <f>VLOOKUP(G271,'Vehicle List'!A:C,3,0)</f>
        <v>Kongunadu Roadlines</v>
      </c>
      <c r="G271" s="29" t="s">
        <v>99</v>
      </c>
      <c r="H271" s="29" t="s">
        <v>1200</v>
      </c>
      <c r="I271" s="29" t="s">
        <v>1199</v>
      </c>
      <c r="J271" s="64" t="str">
        <f>VLOOKUP(G271,'Vehicle List'!A:D,4,0)</f>
        <v>Ennore</v>
      </c>
      <c r="K271" s="64" t="s">
        <v>1174</v>
      </c>
      <c r="L271" s="64" t="s">
        <v>19</v>
      </c>
      <c r="M271" s="64" t="s">
        <v>20</v>
      </c>
      <c r="N271" s="101">
        <v>0.6694444444444444</v>
      </c>
      <c r="O271" s="29" t="s">
        <v>1085</v>
      </c>
      <c r="P271" s="29" t="s">
        <v>21</v>
      </c>
    </row>
    <row r="272" spans="1:16">
      <c r="A272" s="29">
        <f t="shared" si="4"/>
        <v>271</v>
      </c>
      <c r="B272" s="75">
        <v>46091</v>
      </c>
      <c r="C272" s="63" t="s">
        <v>85</v>
      </c>
      <c r="D272" s="63" t="s">
        <v>39</v>
      </c>
      <c r="E272" s="101">
        <v>0.66874999999999996</v>
      </c>
      <c r="F272" s="64" t="str">
        <f>VLOOKUP(G272,'Vehicle List'!A:C,3,0)</f>
        <v>Kongunadu Roadlines</v>
      </c>
      <c r="G272" s="29" t="s">
        <v>99</v>
      </c>
      <c r="H272" s="29" t="s">
        <v>1602</v>
      </c>
      <c r="I272" s="29" t="s">
        <v>1603</v>
      </c>
      <c r="J272" s="64" t="str">
        <f>VLOOKUP(G272,'Vehicle List'!A:D,4,0)</f>
        <v>Ennore</v>
      </c>
      <c r="K272" s="64" t="s">
        <v>1174</v>
      </c>
      <c r="L272" s="64" t="s">
        <v>19</v>
      </c>
      <c r="M272" s="64" t="s">
        <v>20</v>
      </c>
      <c r="N272" s="101">
        <v>0.6694444444444444</v>
      </c>
      <c r="O272" s="29" t="s">
        <v>1085</v>
      </c>
      <c r="P272" s="29" t="s">
        <v>21</v>
      </c>
    </row>
    <row r="273" spans="1:16">
      <c r="A273" s="29">
        <f t="shared" si="4"/>
        <v>272</v>
      </c>
      <c r="B273" s="75">
        <v>46091</v>
      </c>
      <c r="C273" s="63" t="s">
        <v>85</v>
      </c>
      <c r="D273" s="63" t="s">
        <v>39</v>
      </c>
      <c r="E273" s="101">
        <v>0.7055555555555556</v>
      </c>
      <c r="F273" s="64" t="str">
        <f>VLOOKUP(G273,'Vehicle List'!A:C,3,0)</f>
        <v>Kongunadu Roadlines</v>
      </c>
      <c r="G273" s="29" t="s">
        <v>443</v>
      </c>
      <c r="H273" s="29" t="s">
        <v>1599</v>
      </c>
      <c r="I273" s="29" t="s">
        <v>1566</v>
      </c>
      <c r="J273" s="64" t="str">
        <f>VLOOKUP(G273,'Vehicle List'!A:D,4,0)</f>
        <v>AKT</v>
      </c>
      <c r="K273" s="64" t="s">
        <v>24</v>
      </c>
      <c r="L273" s="64" t="s">
        <v>19</v>
      </c>
      <c r="M273" s="64" t="s">
        <v>20</v>
      </c>
      <c r="N273" s="101">
        <v>0.82361111111111107</v>
      </c>
      <c r="O273" s="29" t="s">
        <v>1227</v>
      </c>
      <c r="P273" s="29" t="s">
        <v>21</v>
      </c>
    </row>
    <row r="274" spans="1:16">
      <c r="A274" s="29">
        <f t="shared" si="4"/>
        <v>273</v>
      </c>
      <c r="B274" s="75">
        <v>46091</v>
      </c>
      <c r="C274" s="63" t="s">
        <v>85</v>
      </c>
      <c r="D274" s="63" t="s">
        <v>39</v>
      </c>
      <c r="E274" s="101">
        <v>0.73472222222222228</v>
      </c>
      <c r="F274" s="64" t="str">
        <f>VLOOKUP(G274,'Vehicle List'!A:C,3,0)</f>
        <v>Expo Trans India Limited</v>
      </c>
      <c r="G274" s="29" t="s">
        <v>1107</v>
      </c>
      <c r="H274" s="29" t="s">
        <v>1600</v>
      </c>
      <c r="I274" s="29" t="s">
        <v>1601</v>
      </c>
      <c r="J274" s="64" t="str">
        <f>VLOOKUP(G274,'Vehicle List'!A:D,4,0)</f>
        <v>Dahej</v>
      </c>
      <c r="K274" s="64" t="s">
        <v>18</v>
      </c>
      <c r="L274" s="64" t="s">
        <v>19</v>
      </c>
      <c r="M274" s="64" t="s">
        <v>20</v>
      </c>
      <c r="N274" s="101">
        <v>0.7583333333333333</v>
      </c>
      <c r="O274" s="29" t="s">
        <v>1124</v>
      </c>
      <c r="P274" s="29" t="s">
        <v>21</v>
      </c>
    </row>
    <row r="275" spans="1:16">
      <c r="A275" s="29">
        <f t="shared" si="4"/>
        <v>274</v>
      </c>
      <c r="B275" s="75">
        <v>46091</v>
      </c>
      <c r="C275" s="63" t="s">
        <v>85</v>
      </c>
      <c r="D275" s="63" t="s">
        <v>39</v>
      </c>
      <c r="E275" s="101">
        <v>0.80625000000000002</v>
      </c>
      <c r="F275" s="64" t="str">
        <f>VLOOKUP(G275,'Vehicle List'!A:C,3,0)</f>
        <v>Sritransways Logistics</v>
      </c>
      <c r="G275" s="29" t="s">
        <v>86</v>
      </c>
      <c r="H275" s="29" t="s">
        <v>809</v>
      </c>
      <c r="I275" s="29" t="s">
        <v>810</v>
      </c>
      <c r="J275" s="64" t="str">
        <f>VLOOKUP(G275,'Vehicle List'!A:D,4,0)</f>
        <v>AKT</v>
      </c>
      <c r="K275" s="64" t="s">
        <v>29</v>
      </c>
      <c r="L275" s="64" t="s">
        <v>19</v>
      </c>
      <c r="M275" s="64" t="s">
        <v>19</v>
      </c>
      <c r="N275" s="101">
        <v>0.80625000000000002</v>
      </c>
      <c r="O275" s="29" t="s">
        <v>1543</v>
      </c>
      <c r="P275" s="29" t="s">
        <v>30</v>
      </c>
    </row>
    <row r="276" spans="1:16">
      <c r="A276" s="29">
        <f t="shared" si="4"/>
        <v>275</v>
      </c>
      <c r="B276" s="75">
        <v>46091</v>
      </c>
      <c r="C276" s="63" t="s">
        <v>27</v>
      </c>
      <c r="D276" s="63" t="s">
        <v>16</v>
      </c>
      <c r="E276" s="101">
        <v>0.94166666666666665</v>
      </c>
      <c r="F276" s="64" t="str">
        <f>VLOOKUP(G276,'Vehicle List'!A:C,3,0)</f>
        <v>Expo Trans India Limited</v>
      </c>
      <c r="G276" s="29" t="s">
        <v>40</v>
      </c>
      <c r="H276" s="29" t="s">
        <v>1609</v>
      </c>
      <c r="I276" s="29" t="s">
        <v>1608</v>
      </c>
      <c r="J276" s="64" t="str">
        <f>VLOOKUP(G276,'Vehicle List'!A:D,4,0)</f>
        <v>Chittoor</v>
      </c>
      <c r="K276" s="64" t="s">
        <v>29</v>
      </c>
      <c r="L276" s="64" t="s">
        <v>19</v>
      </c>
      <c r="M276" s="64" t="s">
        <v>19</v>
      </c>
      <c r="N276" s="101">
        <v>0.94166666666666665</v>
      </c>
      <c r="O276" s="29" t="s">
        <v>1543</v>
      </c>
      <c r="P276" s="29" t="s">
        <v>30</v>
      </c>
    </row>
    <row r="277" spans="1:16">
      <c r="A277" s="29">
        <f t="shared" si="4"/>
        <v>276</v>
      </c>
      <c r="B277" s="75">
        <v>46091</v>
      </c>
      <c r="C277" s="63" t="s">
        <v>27</v>
      </c>
      <c r="D277" s="63" t="s">
        <v>16</v>
      </c>
      <c r="E277" s="101">
        <v>0.96458333333333335</v>
      </c>
      <c r="F277" s="64" t="str">
        <f>VLOOKUP(G277,'Vehicle List'!A:C,3,0)</f>
        <v>Velan Gogreen Logistics Pvt Ltd</v>
      </c>
      <c r="G277" s="29" t="s">
        <v>400</v>
      </c>
      <c r="H277" s="29" t="s">
        <v>1611</v>
      </c>
      <c r="I277" s="29" t="s">
        <v>1610</v>
      </c>
      <c r="J277" s="64" t="str">
        <f>VLOOKUP(G277,'Vehicle List'!A:D,4,0)</f>
        <v>KNCP</v>
      </c>
      <c r="K277" s="64" t="s">
        <v>29</v>
      </c>
      <c r="L277" s="64" t="s">
        <v>19</v>
      </c>
      <c r="M277" s="64" t="s">
        <v>19</v>
      </c>
      <c r="N277" s="101">
        <v>0.96458333333333335</v>
      </c>
      <c r="O277" s="29" t="s">
        <v>1553</v>
      </c>
      <c r="P277" s="29" t="s">
        <v>30</v>
      </c>
    </row>
    <row r="278" spans="1:16">
      <c r="A278" s="29">
        <f t="shared" si="4"/>
        <v>277</v>
      </c>
      <c r="B278" s="75">
        <v>46091</v>
      </c>
      <c r="C278" s="63" t="s">
        <v>27</v>
      </c>
      <c r="D278" s="63" t="s">
        <v>16</v>
      </c>
      <c r="E278" s="101">
        <v>0.98402777777777772</v>
      </c>
      <c r="F278" s="64" t="str">
        <f>VLOOKUP(G278,'Vehicle List'!A:C,3,0)</f>
        <v>Expo Trans India Limited</v>
      </c>
      <c r="G278" s="29" t="s">
        <v>523</v>
      </c>
      <c r="H278" s="29" t="s">
        <v>1338</v>
      </c>
      <c r="I278" s="29" t="s">
        <v>1337</v>
      </c>
      <c r="J278" s="64" t="str">
        <f>VLOOKUP(G278,'Vehicle List'!A:D,4,0)</f>
        <v>Jalandhar</v>
      </c>
      <c r="K278" s="64" t="s">
        <v>1171</v>
      </c>
      <c r="L278" s="64" t="s">
        <v>19</v>
      </c>
      <c r="M278" s="64" t="s">
        <v>20</v>
      </c>
      <c r="N278" s="101">
        <v>2.7777777777777779E-3</v>
      </c>
      <c r="O278" s="29" t="s">
        <v>1204</v>
      </c>
      <c r="P278" s="29" t="s">
        <v>21</v>
      </c>
    </row>
    <row r="279" spans="1:16">
      <c r="A279" s="29">
        <f t="shared" si="4"/>
        <v>278</v>
      </c>
      <c r="B279" s="75">
        <v>46092</v>
      </c>
      <c r="C279" s="63" t="s">
        <v>27</v>
      </c>
      <c r="D279" s="63" t="s">
        <v>16</v>
      </c>
      <c r="E279" s="101">
        <v>2.0833333333333332E-2</v>
      </c>
      <c r="F279" s="64" t="str">
        <f>VLOOKUP(G279,'Vehicle List'!A:C,3,0)</f>
        <v>Kongunadu Roadlines</v>
      </c>
      <c r="G279" s="29" t="s">
        <v>99</v>
      </c>
      <c r="H279" s="29" t="s">
        <v>1200</v>
      </c>
      <c r="I279" s="29" t="s">
        <v>1199</v>
      </c>
      <c r="J279" s="64" t="str">
        <f>VLOOKUP(G279,'Vehicle List'!A:D,4,0)</f>
        <v>Ennore</v>
      </c>
      <c r="K279" s="64" t="s">
        <v>29</v>
      </c>
      <c r="L279" s="64" t="s">
        <v>19</v>
      </c>
      <c r="M279" s="64" t="s">
        <v>19</v>
      </c>
      <c r="N279" s="101">
        <v>4.3749999999999997E-2</v>
      </c>
      <c r="O279" s="29" t="s">
        <v>1578</v>
      </c>
      <c r="P279" s="29" t="s">
        <v>30</v>
      </c>
    </row>
    <row r="280" spans="1:16">
      <c r="A280" s="29">
        <f t="shared" si="4"/>
        <v>279</v>
      </c>
      <c r="B280" s="75">
        <v>46092</v>
      </c>
      <c r="C280" s="63" t="s">
        <v>27</v>
      </c>
      <c r="D280" s="63" t="s">
        <v>16</v>
      </c>
      <c r="E280" s="101">
        <v>2.9861111111111113E-2</v>
      </c>
      <c r="F280" s="64" t="str">
        <f>VLOOKUP(G280,'Vehicle List'!A:C,3,0)</f>
        <v>Sritransways Logistics</v>
      </c>
      <c r="G280" s="29" t="s">
        <v>386</v>
      </c>
      <c r="H280" s="29" t="s">
        <v>1607</v>
      </c>
      <c r="I280" s="29" t="s">
        <v>1606</v>
      </c>
      <c r="J280" s="64" t="str">
        <f>VLOOKUP(G280,'Vehicle List'!A:D,4,0)</f>
        <v>AKT</v>
      </c>
      <c r="K280" s="64" t="s">
        <v>26</v>
      </c>
      <c r="L280" s="64" t="s">
        <v>19</v>
      </c>
      <c r="M280" s="64" t="s">
        <v>20</v>
      </c>
      <c r="N280" s="101">
        <v>2.9861111111111113E-2</v>
      </c>
      <c r="O280" s="29" t="s">
        <v>1227</v>
      </c>
      <c r="P280" s="29" t="s">
        <v>21</v>
      </c>
    </row>
    <row r="281" spans="1:16">
      <c r="A281" s="29">
        <f t="shared" si="4"/>
        <v>280</v>
      </c>
      <c r="B281" s="75">
        <v>46092</v>
      </c>
      <c r="C281" s="63" t="s">
        <v>27</v>
      </c>
      <c r="D281" s="63" t="s">
        <v>16</v>
      </c>
      <c r="E281" s="101">
        <v>0.15833333333333333</v>
      </c>
      <c r="F281" s="64" t="str">
        <f>VLOOKUP(G281,'Vehicle List'!A:C,3,0)</f>
        <v>Expo Trans India Limited</v>
      </c>
      <c r="G281" s="29" t="s">
        <v>1128</v>
      </c>
      <c r="H281" s="29" t="s">
        <v>1613</v>
      </c>
      <c r="I281" s="29" t="s">
        <v>1612</v>
      </c>
      <c r="J281" s="64" t="str">
        <f>VLOOKUP(G281,'Vehicle List'!A:D,4,0)</f>
        <v>Kochi</v>
      </c>
      <c r="K281" s="64" t="s">
        <v>29</v>
      </c>
      <c r="L281" s="64" t="s">
        <v>19</v>
      </c>
      <c r="M281" s="64" t="s">
        <v>19</v>
      </c>
      <c r="N281" s="101">
        <v>0.15833333333333333</v>
      </c>
      <c r="O281" s="29" t="s">
        <v>1553</v>
      </c>
      <c r="P281" s="29" t="s">
        <v>30</v>
      </c>
    </row>
    <row r="282" spans="1:16">
      <c r="A282" s="29">
        <f t="shared" si="4"/>
        <v>281</v>
      </c>
      <c r="B282" s="75">
        <v>46092</v>
      </c>
      <c r="C282" s="63" t="s">
        <v>1268</v>
      </c>
      <c r="D282" s="63" t="s">
        <v>28</v>
      </c>
      <c r="E282" s="101">
        <v>0.26111111111111113</v>
      </c>
      <c r="F282" s="64" t="str">
        <f>VLOOKUP(G282,'Vehicle List'!A:C,3,0)</f>
        <v>Kongunadu Roadlines</v>
      </c>
      <c r="G282" s="29" t="s">
        <v>313</v>
      </c>
      <c r="H282" s="29" t="s">
        <v>1628</v>
      </c>
      <c r="I282" s="29" t="s">
        <v>1629</v>
      </c>
      <c r="J282" s="64" t="str">
        <f>VLOOKUP(G282,'Vehicle List'!A:D,4,0)</f>
        <v>KNCP</v>
      </c>
      <c r="K282" s="64" t="s">
        <v>29</v>
      </c>
      <c r="L282" s="64" t="s">
        <v>19</v>
      </c>
      <c r="M282" s="64" t="s">
        <v>19</v>
      </c>
      <c r="N282" s="101">
        <v>0.26111111111111113</v>
      </c>
      <c r="O282" s="29" t="s">
        <v>1182</v>
      </c>
      <c r="P282" s="29" t="s">
        <v>30</v>
      </c>
    </row>
    <row r="283" spans="1:16">
      <c r="A283" s="29">
        <f t="shared" si="4"/>
        <v>282</v>
      </c>
      <c r="B283" s="75">
        <v>46092</v>
      </c>
      <c r="C283" s="63" t="s">
        <v>1268</v>
      </c>
      <c r="D283" s="63" t="s">
        <v>28</v>
      </c>
      <c r="E283" s="101">
        <v>0.22152777777777777</v>
      </c>
      <c r="F283" s="64" t="str">
        <f>VLOOKUP(G283,'Vehicle List'!A:C,3,0)</f>
        <v>Anmol Transport</v>
      </c>
      <c r="G283" s="29" t="s">
        <v>559</v>
      </c>
      <c r="H283" s="29" t="s">
        <v>1438</v>
      </c>
      <c r="I283" s="29" t="s">
        <v>1437</v>
      </c>
      <c r="J283" s="64" t="str">
        <f>VLOOKUP(G283,'Vehicle List'!A:D,4,0)</f>
        <v>Jalandhar</v>
      </c>
      <c r="K283" s="64" t="s">
        <v>18</v>
      </c>
      <c r="L283" s="64" t="s">
        <v>19</v>
      </c>
      <c r="M283" s="64" t="s">
        <v>20</v>
      </c>
      <c r="N283" s="101">
        <v>0.31666666666666665</v>
      </c>
      <c r="O283" s="29" t="s">
        <v>1204</v>
      </c>
      <c r="P283" s="29" t="s">
        <v>21</v>
      </c>
    </row>
    <row r="284" spans="1:16">
      <c r="A284" s="29">
        <f t="shared" si="4"/>
        <v>283</v>
      </c>
      <c r="B284" s="75">
        <v>46092</v>
      </c>
      <c r="C284" s="63" t="s">
        <v>1268</v>
      </c>
      <c r="D284" s="63" t="s">
        <v>28</v>
      </c>
      <c r="E284" s="101">
        <v>0.27013888888888887</v>
      </c>
      <c r="F284" s="64" t="str">
        <f>VLOOKUP(G284,'Vehicle List'!A:C,3,0)</f>
        <v>Kongunadu Roadlines</v>
      </c>
      <c r="G284" s="29" t="s">
        <v>31</v>
      </c>
      <c r="H284" s="29" t="s">
        <v>1385</v>
      </c>
      <c r="I284" s="29" t="s">
        <v>1384</v>
      </c>
      <c r="J284" s="64" t="str">
        <f>VLOOKUP(G284,'Vehicle List'!A:D,4,0)</f>
        <v>Kochi</v>
      </c>
      <c r="K284" s="64" t="s">
        <v>29</v>
      </c>
      <c r="L284" s="64" t="s">
        <v>19</v>
      </c>
      <c r="M284" s="64" t="s">
        <v>19</v>
      </c>
      <c r="N284" s="101">
        <v>0.27013888888888887</v>
      </c>
      <c r="O284" s="29" t="s">
        <v>1226</v>
      </c>
      <c r="P284" s="29" t="s">
        <v>30</v>
      </c>
    </row>
    <row r="285" spans="1:16">
      <c r="A285" s="29">
        <f t="shared" si="4"/>
        <v>284</v>
      </c>
      <c r="B285" s="75">
        <v>46092</v>
      </c>
      <c r="C285" s="63" t="s">
        <v>1268</v>
      </c>
      <c r="D285" s="63" t="s">
        <v>28</v>
      </c>
      <c r="E285" s="101">
        <v>0.27083333333333331</v>
      </c>
      <c r="F285" s="64" t="str">
        <f>VLOOKUP(G285,'Vehicle List'!A:C,3,0)</f>
        <v>Rahul Roadlines</v>
      </c>
      <c r="G285" s="29" t="s">
        <v>77</v>
      </c>
      <c r="H285" s="29" t="s">
        <v>1348</v>
      </c>
      <c r="I285" s="29" t="s">
        <v>1347</v>
      </c>
      <c r="J285" s="64" t="str">
        <f>VLOOKUP(G285,'Vehicle List'!A:D,4,0)</f>
        <v>BJJ</v>
      </c>
      <c r="K285" s="64" t="s">
        <v>29</v>
      </c>
      <c r="L285" s="64" t="s">
        <v>19</v>
      </c>
      <c r="M285" s="64" t="s">
        <v>19</v>
      </c>
      <c r="N285" s="101">
        <v>0.27083333333333331</v>
      </c>
      <c r="O285" s="29" t="s">
        <v>1543</v>
      </c>
      <c r="P285" s="29" t="s">
        <v>30</v>
      </c>
    </row>
    <row r="286" spans="1:16">
      <c r="A286" s="29">
        <f t="shared" si="4"/>
        <v>285</v>
      </c>
      <c r="B286" s="75">
        <v>46092</v>
      </c>
      <c r="C286" s="63" t="s">
        <v>1268</v>
      </c>
      <c r="D286" s="63" t="s">
        <v>28</v>
      </c>
      <c r="E286" s="101">
        <v>0.27638888888888891</v>
      </c>
      <c r="F286" s="64" t="str">
        <f>VLOOKUP(G286,'Vehicle List'!A:C,3,0)</f>
        <v>Rahul Roadlines</v>
      </c>
      <c r="G286" s="29" t="s">
        <v>1148</v>
      </c>
      <c r="H286" s="29" t="s">
        <v>1626</v>
      </c>
      <c r="I286" s="29" t="s">
        <v>1627</v>
      </c>
      <c r="J286" s="64" t="str">
        <f>VLOOKUP(G286,'Vehicle List'!A:D,4,0)</f>
        <v>Bhopal</v>
      </c>
      <c r="K286" s="64" t="s">
        <v>29</v>
      </c>
      <c r="L286" s="64" t="s">
        <v>19</v>
      </c>
      <c r="M286" s="64" t="s">
        <v>19</v>
      </c>
      <c r="N286" s="101">
        <v>0.27638888888888891</v>
      </c>
      <c r="O286" s="29" t="s">
        <v>1224</v>
      </c>
      <c r="P286" s="29" t="s">
        <v>30</v>
      </c>
    </row>
    <row r="287" spans="1:16">
      <c r="A287" s="29">
        <f t="shared" si="4"/>
        <v>286</v>
      </c>
      <c r="B287" s="75">
        <v>46092</v>
      </c>
      <c r="C287" s="63" t="s">
        <v>1268</v>
      </c>
      <c r="D287" s="63" t="s">
        <v>28</v>
      </c>
      <c r="E287" s="101">
        <v>0.24374999999999999</v>
      </c>
      <c r="F287" s="64" t="str">
        <f>VLOOKUP(G287,'Vehicle List'!A:C,3,0)</f>
        <v>Kongunadu Roadlines</v>
      </c>
      <c r="G287" s="29" t="s">
        <v>597</v>
      </c>
      <c r="H287" s="29" t="s">
        <v>1624</v>
      </c>
      <c r="I287" s="29" t="s">
        <v>1625</v>
      </c>
      <c r="J287" s="64" t="str">
        <f>VLOOKUP(G287,'Vehicle List'!A:D,4,0)</f>
        <v>Kochi</v>
      </c>
      <c r="K287" s="64" t="s">
        <v>1174</v>
      </c>
      <c r="L287" s="64" t="s">
        <v>19</v>
      </c>
      <c r="M287" s="64" t="s">
        <v>20</v>
      </c>
      <c r="N287" s="101">
        <v>0.32222222222222224</v>
      </c>
      <c r="O287" s="29" t="s">
        <v>1244</v>
      </c>
      <c r="P287" s="29" t="s">
        <v>21</v>
      </c>
    </row>
    <row r="288" spans="1:16">
      <c r="A288" s="29">
        <f t="shared" si="4"/>
        <v>287</v>
      </c>
      <c r="B288" s="75">
        <v>46092</v>
      </c>
      <c r="C288" s="63" t="s">
        <v>1268</v>
      </c>
      <c r="D288" s="63" t="s">
        <v>28</v>
      </c>
      <c r="E288" s="101">
        <v>0.26666666666666666</v>
      </c>
      <c r="F288" s="64" t="str">
        <f>VLOOKUP(G288,'Vehicle List'!A:C,3,0)</f>
        <v>Green Planet</v>
      </c>
      <c r="G288" s="29" t="s">
        <v>611</v>
      </c>
      <c r="H288" s="29" t="s">
        <v>1622</v>
      </c>
      <c r="I288" s="29" t="s">
        <v>1623</v>
      </c>
      <c r="J288" s="64" t="str">
        <f>VLOOKUP(G288,'Vehicle List'!A:D,4,0)</f>
        <v>Kochi</v>
      </c>
      <c r="K288" s="64" t="s">
        <v>24</v>
      </c>
      <c r="L288" s="64" t="s">
        <v>19</v>
      </c>
      <c r="M288" s="64" t="s">
        <v>20</v>
      </c>
      <c r="N288" s="101">
        <v>0.3263888888888889</v>
      </c>
      <c r="O288" s="29" t="s">
        <v>1244</v>
      </c>
      <c r="P288" s="29" t="s">
        <v>21</v>
      </c>
    </row>
    <row r="289" spans="1:16">
      <c r="A289" s="29">
        <f t="shared" si="4"/>
        <v>288</v>
      </c>
      <c r="B289" s="75">
        <v>46092</v>
      </c>
      <c r="C289" s="63" t="s">
        <v>1268</v>
      </c>
      <c r="D289" s="63" t="s">
        <v>28</v>
      </c>
      <c r="E289" s="101">
        <v>0.33680555555555558</v>
      </c>
      <c r="F289" s="64" t="str">
        <f>VLOOKUP(G289,'Vehicle List'!A:C,3,0)</f>
        <v>Dhinesh Transports</v>
      </c>
      <c r="G289" s="29" t="s">
        <v>445</v>
      </c>
      <c r="H289" s="29" t="s">
        <v>1620</v>
      </c>
      <c r="I289" s="29" t="s">
        <v>1621</v>
      </c>
      <c r="J289" s="64" t="str">
        <f>VLOOKUP(G289,'Vehicle List'!A:D,4,0)</f>
        <v>KNCP</v>
      </c>
      <c r="K289" s="64" t="s">
        <v>29</v>
      </c>
      <c r="L289" s="64" t="s">
        <v>19</v>
      </c>
      <c r="M289" s="64" t="s">
        <v>19</v>
      </c>
      <c r="N289" s="101">
        <v>0.33680555555555558</v>
      </c>
      <c r="O289" s="29" t="s">
        <v>1284</v>
      </c>
      <c r="P289" s="29" t="s">
        <v>30</v>
      </c>
    </row>
    <row r="290" spans="1:16">
      <c r="A290" s="29">
        <f t="shared" si="4"/>
        <v>289</v>
      </c>
      <c r="B290" s="75">
        <v>46092</v>
      </c>
      <c r="C290" s="63" t="s">
        <v>1268</v>
      </c>
      <c r="D290" s="63" t="s">
        <v>28</v>
      </c>
      <c r="E290" s="101">
        <v>0.31666666666666665</v>
      </c>
      <c r="F290" s="64" t="str">
        <f>VLOOKUP(G290,'Vehicle List'!A:C,3,0)</f>
        <v>Expo Trans India Limited</v>
      </c>
      <c r="G290" s="29" t="s">
        <v>64</v>
      </c>
      <c r="H290" s="29" t="s">
        <v>1619</v>
      </c>
      <c r="I290" s="29" t="s">
        <v>1439</v>
      </c>
      <c r="J290" s="64" t="str">
        <f>VLOOKUP(G290,'Vehicle List'!A:D,4,0)</f>
        <v>BJJ</v>
      </c>
      <c r="K290" s="64" t="s">
        <v>24</v>
      </c>
      <c r="L290" s="64" t="s">
        <v>19</v>
      </c>
      <c r="M290" s="64" t="s">
        <v>20</v>
      </c>
      <c r="N290" s="101">
        <v>0.36458333333333331</v>
      </c>
      <c r="O290" s="29" t="s">
        <v>1078</v>
      </c>
      <c r="P290" s="29" t="s">
        <v>21</v>
      </c>
    </row>
    <row r="291" spans="1:16">
      <c r="A291" s="29">
        <f t="shared" si="4"/>
        <v>290</v>
      </c>
      <c r="B291" s="75">
        <v>46092</v>
      </c>
      <c r="C291" s="63" t="s">
        <v>1268</v>
      </c>
      <c r="D291" s="63" t="s">
        <v>28</v>
      </c>
      <c r="E291" s="101">
        <v>0.28194444444444444</v>
      </c>
      <c r="F291" s="64" t="str">
        <f>VLOOKUP(G291,'Vehicle List'!A:C,3,0)</f>
        <v>Kongunadu Roadlines</v>
      </c>
      <c r="G291" s="29" t="s">
        <v>599</v>
      </c>
      <c r="H291" s="29" t="s">
        <v>1617</v>
      </c>
      <c r="I291" s="29" t="s">
        <v>1618</v>
      </c>
      <c r="J291" s="64" t="str">
        <f>VLOOKUP(G291,'Vehicle List'!A:D,4,0)</f>
        <v>Kochi</v>
      </c>
      <c r="K291" s="64" t="s">
        <v>24</v>
      </c>
      <c r="L291" s="64" t="s">
        <v>19</v>
      </c>
      <c r="M291" s="64" t="s">
        <v>20</v>
      </c>
      <c r="N291" s="101">
        <v>0.36805555555555558</v>
      </c>
      <c r="O291" s="29" t="s">
        <v>1244</v>
      </c>
      <c r="P291" s="29" t="s">
        <v>21</v>
      </c>
    </row>
    <row r="292" spans="1:16">
      <c r="A292" s="29">
        <f t="shared" si="4"/>
        <v>291</v>
      </c>
      <c r="B292" s="75">
        <v>46092</v>
      </c>
      <c r="C292" s="63" t="s">
        <v>1268</v>
      </c>
      <c r="D292" s="63" t="s">
        <v>28</v>
      </c>
      <c r="E292" s="101">
        <v>0.37152777777777779</v>
      </c>
      <c r="F292" s="64" t="str">
        <f>VLOOKUP(G292,'Vehicle List'!A:C,3,0)</f>
        <v>Expo Trans India Limited</v>
      </c>
      <c r="G292" s="29" t="s">
        <v>501</v>
      </c>
      <c r="H292" s="29" t="s">
        <v>1615</v>
      </c>
      <c r="I292" s="29" t="s">
        <v>1616</v>
      </c>
      <c r="J292" s="64" t="str">
        <f>VLOOKUP(G292,'Vehicle List'!A:D,4,0)</f>
        <v>Bhopal</v>
      </c>
      <c r="K292" s="64" t="s">
        <v>26</v>
      </c>
      <c r="L292" s="64" t="s">
        <v>19</v>
      </c>
      <c r="M292" s="64" t="s">
        <v>20</v>
      </c>
      <c r="N292" s="101">
        <v>0.42777777777777776</v>
      </c>
      <c r="O292" s="29" t="s">
        <v>1096</v>
      </c>
      <c r="P292" s="29" t="s">
        <v>21</v>
      </c>
    </row>
    <row r="293" spans="1:16">
      <c r="A293" s="29">
        <f t="shared" si="4"/>
        <v>292</v>
      </c>
      <c r="B293" s="75">
        <v>46092</v>
      </c>
      <c r="C293" s="63" t="s">
        <v>1268</v>
      </c>
      <c r="D293" s="63" t="s">
        <v>28</v>
      </c>
      <c r="E293" s="101">
        <v>0.43819444444444444</v>
      </c>
      <c r="F293" s="64" t="str">
        <f>VLOOKUP(G293,'Vehicle List'!A:C,3,0)</f>
        <v>Rahul Roadlines</v>
      </c>
      <c r="G293" s="29" t="s">
        <v>95</v>
      </c>
      <c r="H293" s="29" t="s">
        <v>1451</v>
      </c>
      <c r="I293" s="29" t="s">
        <v>1439</v>
      </c>
      <c r="J293" s="64" t="str">
        <f>VLOOKUP(G293,'Vehicle List'!A:D,4,0)</f>
        <v>BJJ</v>
      </c>
      <c r="K293" s="64" t="s">
        <v>29</v>
      </c>
      <c r="L293" s="64" t="s">
        <v>19</v>
      </c>
      <c r="M293" s="64" t="s">
        <v>19</v>
      </c>
      <c r="N293" s="101">
        <v>0.43819444444444444</v>
      </c>
      <c r="O293" s="29" t="s">
        <v>1062</v>
      </c>
      <c r="P293" s="29" t="s">
        <v>30</v>
      </c>
    </row>
    <row r="294" spans="1:16">
      <c r="A294" s="29">
        <f t="shared" si="4"/>
        <v>293</v>
      </c>
      <c r="B294" s="75">
        <v>46092</v>
      </c>
      <c r="C294" s="63" t="s">
        <v>1268</v>
      </c>
      <c r="D294" s="63" t="s">
        <v>28</v>
      </c>
      <c r="E294" s="101">
        <v>0.49583333333333335</v>
      </c>
      <c r="F294" s="64" t="str">
        <f>VLOOKUP(G294,'Vehicle List'!A:C,3,0)</f>
        <v>Kongunadu Roadlines</v>
      </c>
      <c r="G294" s="29" t="s">
        <v>369</v>
      </c>
      <c r="H294" s="29" t="s">
        <v>1512</v>
      </c>
      <c r="I294" s="29" t="s">
        <v>1513</v>
      </c>
      <c r="J294" s="64" t="str">
        <f>VLOOKUP(G294,'Vehicle List'!A:D,4,0)</f>
        <v>KNCP</v>
      </c>
      <c r="K294" s="64" t="s">
        <v>29</v>
      </c>
      <c r="L294" s="64" t="s">
        <v>19</v>
      </c>
      <c r="M294" s="64" t="s">
        <v>19</v>
      </c>
      <c r="N294" s="101">
        <v>0.49583333333333335</v>
      </c>
      <c r="O294" s="29" t="s">
        <v>1182</v>
      </c>
      <c r="P294" s="29" t="s">
        <v>30</v>
      </c>
    </row>
    <row r="295" spans="1:16">
      <c r="A295" s="29">
        <f t="shared" si="4"/>
        <v>294</v>
      </c>
      <c r="B295" s="75">
        <v>46092</v>
      </c>
      <c r="C295" s="63" t="s">
        <v>1268</v>
      </c>
      <c r="D295" s="63" t="s">
        <v>28</v>
      </c>
      <c r="E295" s="101">
        <v>0.5805555555555556</v>
      </c>
      <c r="F295" s="64" t="str">
        <f>VLOOKUP(G295,'Vehicle List'!A:C,3,0)</f>
        <v>Expo Trans India Limited</v>
      </c>
      <c r="G295" s="29" t="s">
        <v>319</v>
      </c>
      <c r="H295" s="29" t="s">
        <v>1502</v>
      </c>
      <c r="I295" s="29" t="s">
        <v>1503</v>
      </c>
      <c r="J295" s="64" t="str">
        <f>VLOOKUP(G295,'Vehicle List'!A:D,4,0)</f>
        <v>Chittoor</v>
      </c>
      <c r="K295" s="64" t="s">
        <v>29</v>
      </c>
      <c r="L295" s="64" t="s">
        <v>19</v>
      </c>
      <c r="M295" s="64" t="s">
        <v>19</v>
      </c>
      <c r="N295" s="101">
        <v>0.5805555555555556</v>
      </c>
      <c r="O295" s="29" t="s">
        <v>1543</v>
      </c>
      <c r="P295" s="29" t="s">
        <v>30</v>
      </c>
    </row>
    <row r="296" spans="1:16">
      <c r="A296" s="29">
        <f t="shared" si="4"/>
        <v>295</v>
      </c>
      <c r="B296" s="75">
        <v>46092</v>
      </c>
      <c r="C296" s="63" t="s">
        <v>1123</v>
      </c>
      <c r="D296" s="63" t="s">
        <v>39</v>
      </c>
      <c r="E296" s="101">
        <v>0.61736111111111114</v>
      </c>
      <c r="F296" s="64" t="str">
        <f>VLOOKUP(G296,'Vehicle List'!A:C,3,0)</f>
        <v>Dhinesh Transports</v>
      </c>
      <c r="G296" s="29" t="s">
        <v>410</v>
      </c>
      <c r="H296" s="29" t="s">
        <v>1636</v>
      </c>
      <c r="I296" s="29" t="s">
        <v>1635</v>
      </c>
      <c r="J296" s="64" t="str">
        <f>VLOOKUP(G296,'Vehicle List'!A:D,4,0)</f>
        <v>MMC</v>
      </c>
      <c r="K296" s="64" t="s">
        <v>29</v>
      </c>
      <c r="L296" s="64" t="s">
        <v>19</v>
      </c>
      <c r="M296" s="64" t="s">
        <v>19</v>
      </c>
      <c r="N296" s="101">
        <v>0.61875000000000002</v>
      </c>
      <c r="O296" s="29" t="s">
        <v>1182</v>
      </c>
      <c r="P296" s="29" t="s">
        <v>30</v>
      </c>
    </row>
    <row r="297" spans="1:16">
      <c r="A297" s="29">
        <f t="shared" si="4"/>
        <v>296</v>
      </c>
      <c r="B297" s="75">
        <v>46092</v>
      </c>
      <c r="C297" s="63" t="s">
        <v>1123</v>
      </c>
      <c r="D297" s="63" t="s">
        <v>39</v>
      </c>
      <c r="E297" s="101">
        <v>0.61736111111111114</v>
      </c>
      <c r="F297" s="64" t="str">
        <f>VLOOKUP(G297,'Vehicle List'!A:C,3,0)</f>
        <v>Velan Gogreen Logistics Pvt Ltd</v>
      </c>
      <c r="G297" s="29" t="s">
        <v>34</v>
      </c>
      <c r="H297" s="29" t="s">
        <v>1336</v>
      </c>
      <c r="I297" s="29" t="s">
        <v>1335</v>
      </c>
      <c r="J297" s="64" t="str">
        <f>VLOOKUP(G297,'Vehicle List'!A:D,4,0)</f>
        <v>KNCP</v>
      </c>
      <c r="K297" s="64" t="s">
        <v>29</v>
      </c>
      <c r="L297" s="64" t="s">
        <v>19</v>
      </c>
      <c r="M297" s="64" t="s">
        <v>19</v>
      </c>
      <c r="N297" s="101">
        <v>0.61944444444444446</v>
      </c>
      <c r="O297" s="29" t="s">
        <v>1633</v>
      </c>
      <c r="P297" s="29" t="s">
        <v>30</v>
      </c>
    </row>
    <row r="298" spans="1:16">
      <c r="A298" s="29">
        <f t="shared" si="4"/>
        <v>297</v>
      </c>
      <c r="B298" s="75">
        <v>46092</v>
      </c>
      <c r="C298" s="63" t="s">
        <v>1123</v>
      </c>
      <c r="D298" s="63" t="s">
        <v>39</v>
      </c>
      <c r="E298" s="101">
        <v>0.61805555555555558</v>
      </c>
      <c r="F298" s="64" t="str">
        <f>VLOOKUP(G298,'Vehicle List'!A:C,3,0)</f>
        <v>Kongunadu Roadlines</v>
      </c>
      <c r="G298" s="29" t="s">
        <v>99</v>
      </c>
      <c r="H298" s="29" t="s">
        <v>1200</v>
      </c>
      <c r="I298" s="29" t="s">
        <v>1199</v>
      </c>
      <c r="J298" s="64" t="str">
        <f>VLOOKUP(G298,'Vehicle List'!A:D,4,0)</f>
        <v>Ennore</v>
      </c>
      <c r="K298" s="64" t="s">
        <v>29</v>
      </c>
      <c r="L298" s="64" t="s">
        <v>19</v>
      </c>
      <c r="M298" s="64" t="s">
        <v>19</v>
      </c>
      <c r="N298" s="101">
        <v>0.62013888888888891</v>
      </c>
      <c r="O298" s="29" t="s">
        <v>1634</v>
      </c>
      <c r="P298" s="29" t="s">
        <v>30</v>
      </c>
    </row>
    <row r="299" spans="1:16">
      <c r="A299" s="29">
        <f t="shared" si="4"/>
        <v>298</v>
      </c>
      <c r="B299" s="75">
        <v>46092</v>
      </c>
      <c r="C299" s="63" t="s">
        <v>1123</v>
      </c>
      <c r="D299" s="63" t="s">
        <v>39</v>
      </c>
      <c r="E299" s="101">
        <v>0.61388888888888893</v>
      </c>
      <c r="F299" s="64" t="str">
        <f>VLOOKUP(G299,'Vehicle List'!A:C,3,0)</f>
        <v>Kongunadu Roadlines</v>
      </c>
      <c r="G299" s="29" t="s">
        <v>363</v>
      </c>
      <c r="H299" s="29" t="s">
        <v>1390</v>
      </c>
      <c r="I299" s="29" t="s">
        <v>1389</v>
      </c>
      <c r="J299" s="64" t="str">
        <f>VLOOKUP(G299,'Vehicle List'!A:D,4,0)</f>
        <v>Vellore</v>
      </c>
      <c r="K299" s="64" t="s">
        <v>29</v>
      </c>
      <c r="L299" s="64" t="s">
        <v>19</v>
      </c>
      <c r="M299" s="64" t="s">
        <v>19</v>
      </c>
      <c r="N299" s="101">
        <v>0.62222222222222223</v>
      </c>
      <c r="O299" s="29" t="s">
        <v>1248</v>
      </c>
      <c r="P299" s="29" t="s">
        <v>21</v>
      </c>
    </row>
    <row r="300" spans="1:16">
      <c r="A300" s="29">
        <f t="shared" si="4"/>
        <v>299</v>
      </c>
      <c r="B300" s="75">
        <v>46092</v>
      </c>
      <c r="C300" s="63" t="s">
        <v>1123</v>
      </c>
      <c r="D300" s="63" t="s">
        <v>39</v>
      </c>
      <c r="E300" s="101">
        <v>0.61597222222222225</v>
      </c>
      <c r="F300" s="64" t="str">
        <f>VLOOKUP(G300,'Vehicle List'!A:C,3,0)</f>
        <v>Oraya Gas India Pvt.Ltd.</v>
      </c>
      <c r="G300" s="29" t="s">
        <v>45</v>
      </c>
      <c r="H300" s="29" t="s">
        <v>1276</v>
      </c>
      <c r="I300" s="29" t="s">
        <v>1277</v>
      </c>
      <c r="J300" s="64" t="str">
        <f>VLOOKUP(G300,'Vehicle List'!A:D,4,0)</f>
        <v>Kochi</v>
      </c>
      <c r="K300" s="64" t="s">
        <v>18</v>
      </c>
      <c r="L300" s="64" t="s">
        <v>19</v>
      </c>
      <c r="M300" s="64" t="s">
        <v>20</v>
      </c>
      <c r="N300" s="101">
        <v>0.62638888888888888</v>
      </c>
      <c r="O300" s="29" t="s">
        <v>1244</v>
      </c>
      <c r="P300" s="29" t="s">
        <v>21</v>
      </c>
    </row>
    <row r="301" spans="1:16">
      <c r="A301" s="29">
        <f t="shared" si="4"/>
        <v>300</v>
      </c>
      <c r="B301" s="75">
        <v>46092</v>
      </c>
      <c r="C301" s="63" t="s">
        <v>1123</v>
      </c>
      <c r="D301" s="63" t="s">
        <v>39</v>
      </c>
      <c r="E301" s="101">
        <v>0.61597222222222225</v>
      </c>
      <c r="F301" s="64" t="str">
        <f>VLOOKUP(G301,'Vehicle List'!A:C,3,0)</f>
        <v>Oraya Gas India Pvt.Ltd.</v>
      </c>
      <c r="G301" s="29" t="s">
        <v>45</v>
      </c>
      <c r="H301" s="29" t="s">
        <v>1637</v>
      </c>
      <c r="I301" s="29" t="s">
        <v>1638</v>
      </c>
      <c r="J301" s="64" t="str">
        <f>VLOOKUP(G301,'Vehicle List'!A:D,4,0)</f>
        <v>Kochi</v>
      </c>
      <c r="K301" s="64" t="s">
        <v>29</v>
      </c>
      <c r="L301" s="64" t="s">
        <v>19</v>
      </c>
      <c r="M301" s="64" t="s">
        <v>19</v>
      </c>
      <c r="N301" s="101">
        <v>0.62638888888888888</v>
      </c>
      <c r="O301" s="29" t="s">
        <v>1062</v>
      </c>
      <c r="P301" s="29" t="s">
        <v>30</v>
      </c>
    </row>
    <row r="302" spans="1:16">
      <c r="A302" s="29">
        <f t="shared" si="4"/>
        <v>301</v>
      </c>
      <c r="B302" s="75">
        <v>46092</v>
      </c>
      <c r="C302" s="63" t="s">
        <v>1123</v>
      </c>
      <c r="D302" s="63" t="s">
        <v>39</v>
      </c>
      <c r="E302" s="101">
        <v>0.6333333333333333</v>
      </c>
      <c r="F302" s="64" t="str">
        <f>VLOOKUP(G302,'Vehicle List'!A:C,3,0)</f>
        <v>Kongunadu Roadlines</v>
      </c>
      <c r="G302" s="29" t="s">
        <v>590</v>
      </c>
      <c r="H302" s="29" t="s">
        <v>1640</v>
      </c>
      <c r="I302" s="29" t="s">
        <v>1639</v>
      </c>
      <c r="J302" s="64" t="str">
        <f>VLOOKUP(G302,'Vehicle List'!A:D,4,0)</f>
        <v>Ennore</v>
      </c>
      <c r="K302" s="64" t="s">
        <v>1174</v>
      </c>
      <c r="L302" s="64" t="s">
        <v>19</v>
      </c>
      <c r="M302" s="64" t="s">
        <v>20</v>
      </c>
      <c r="N302" s="101">
        <v>0.65833333333333333</v>
      </c>
      <c r="O302" s="29" t="s">
        <v>1085</v>
      </c>
      <c r="P302" s="29" t="s">
        <v>21</v>
      </c>
    </row>
    <row r="303" spans="1:16">
      <c r="A303" s="29">
        <f t="shared" si="4"/>
        <v>302</v>
      </c>
      <c r="B303" s="75">
        <v>46092</v>
      </c>
      <c r="C303" s="63" t="s">
        <v>1123</v>
      </c>
      <c r="D303" s="63" t="s">
        <v>39</v>
      </c>
      <c r="E303" s="101">
        <v>0.67291666666666672</v>
      </c>
      <c r="F303" s="64" t="str">
        <f>VLOOKUP(G303,'Vehicle List'!A:C,3,0)</f>
        <v>Kongunadu Roadlines</v>
      </c>
      <c r="G303" s="29" t="s">
        <v>311</v>
      </c>
      <c r="H303" s="29" t="s">
        <v>1647</v>
      </c>
      <c r="I303" s="29" t="s">
        <v>1648</v>
      </c>
      <c r="J303" s="64" t="str">
        <f>VLOOKUP(G303,'Vehicle List'!A:D,4,0)</f>
        <v>KNCP</v>
      </c>
      <c r="K303" s="64" t="s">
        <v>26</v>
      </c>
      <c r="L303" s="64" t="s">
        <v>19</v>
      </c>
      <c r="M303" s="64" t="s">
        <v>20</v>
      </c>
      <c r="N303" s="101">
        <v>0.67777777777777781</v>
      </c>
      <c r="O303" s="29" t="s">
        <v>1286</v>
      </c>
      <c r="P303" s="29" t="s">
        <v>21</v>
      </c>
    </row>
    <row r="304" spans="1:16">
      <c r="A304" s="29">
        <f t="shared" si="4"/>
        <v>303</v>
      </c>
      <c r="B304" s="75">
        <v>46092</v>
      </c>
      <c r="C304" s="63" t="s">
        <v>1123</v>
      </c>
      <c r="D304" s="63" t="s">
        <v>39</v>
      </c>
      <c r="E304" s="101">
        <v>0.66805555555555551</v>
      </c>
      <c r="F304" s="64" t="str">
        <f>VLOOKUP(G304,'Vehicle List'!A:C,3,0)</f>
        <v>Expo Trans India Limited</v>
      </c>
      <c r="G304" s="29" t="s">
        <v>521</v>
      </c>
      <c r="H304" s="29" t="s">
        <v>1643</v>
      </c>
      <c r="I304" s="29" t="s">
        <v>1644</v>
      </c>
      <c r="J304" s="64" t="str">
        <f>VLOOKUP(G304,'Vehicle List'!A:D,4,0)</f>
        <v>Baghpat</v>
      </c>
      <c r="K304" s="64" t="s">
        <v>26</v>
      </c>
      <c r="L304" s="64" t="s">
        <v>19</v>
      </c>
      <c r="M304" s="64" t="s">
        <v>20</v>
      </c>
      <c r="N304" s="101">
        <v>0.67986111111111114</v>
      </c>
      <c r="O304" s="29" t="s">
        <v>1632</v>
      </c>
      <c r="P304" s="29" t="s">
        <v>21</v>
      </c>
    </row>
    <row r="305" spans="1:16">
      <c r="A305" s="29">
        <f t="shared" si="4"/>
        <v>304</v>
      </c>
      <c r="B305" s="75">
        <v>46092</v>
      </c>
      <c r="C305" s="63" t="s">
        <v>1123</v>
      </c>
      <c r="D305" s="63" t="s">
        <v>39</v>
      </c>
      <c r="E305" s="101">
        <v>0.70833333333333337</v>
      </c>
      <c r="F305" s="64" t="str">
        <f>VLOOKUP(G305,'Vehicle List'!A:C,3,0)</f>
        <v>Expo Trans India Limited</v>
      </c>
      <c r="G305" s="29" t="s">
        <v>1134</v>
      </c>
      <c r="H305" s="29" t="s">
        <v>1642</v>
      </c>
      <c r="I305" s="29" t="s">
        <v>1641</v>
      </c>
      <c r="J305" s="64" t="str">
        <f>VLOOKUP(G305,'Vehicle List'!A:D,4,0)</f>
        <v>Baghpat</v>
      </c>
      <c r="K305" s="64" t="s">
        <v>29</v>
      </c>
      <c r="L305" s="64" t="s">
        <v>19</v>
      </c>
      <c r="M305" s="64" t="s">
        <v>19</v>
      </c>
      <c r="N305" s="101">
        <v>0.71111111111111114</v>
      </c>
      <c r="O305" s="29" t="s">
        <v>1645</v>
      </c>
      <c r="P305" s="29" t="s">
        <v>30</v>
      </c>
    </row>
    <row r="306" spans="1:16">
      <c r="A306" s="29">
        <f t="shared" si="4"/>
        <v>305</v>
      </c>
      <c r="B306" s="75">
        <v>46092</v>
      </c>
      <c r="C306" s="63" t="s">
        <v>1123</v>
      </c>
      <c r="D306" s="63" t="s">
        <v>39</v>
      </c>
      <c r="E306" s="101">
        <v>0.76944444444444449</v>
      </c>
      <c r="F306" s="64" t="str">
        <f>VLOOKUP(G306,'Vehicle List'!A:C,3,0)</f>
        <v>Kongunadu Roadlines</v>
      </c>
      <c r="G306" s="29" t="s">
        <v>58</v>
      </c>
      <c r="H306" s="29" t="s">
        <v>1328</v>
      </c>
      <c r="I306" s="29" t="s">
        <v>1646</v>
      </c>
      <c r="J306" s="64" t="str">
        <f>VLOOKUP(G306,'Vehicle List'!A:D,4,0)</f>
        <v>Ennore</v>
      </c>
      <c r="K306" s="64" t="s">
        <v>26</v>
      </c>
      <c r="L306" s="64" t="s">
        <v>19</v>
      </c>
      <c r="M306" s="64" t="s">
        <v>20</v>
      </c>
      <c r="N306" s="101">
        <v>0.77638888888888891</v>
      </c>
      <c r="O306" s="29" t="s">
        <v>1085</v>
      </c>
      <c r="P306" s="29" t="s">
        <v>21</v>
      </c>
    </row>
    <row r="307" spans="1:16">
      <c r="A307" s="29">
        <f t="shared" si="4"/>
        <v>306</v>
      </c>
      <c r="B307" s="75">
        <v>46092</v>
      </c>
      <c r="C307" s="63" t="s">
        <v>1123</v>
      </c>
      <c r="D307" s="63" t="s">
        <v>39</v>
      </c>
      <c r="E307" s="101">
        <v>0.79166666666666663</v>
      </c>
      <c r="F307" s="64" t="str">
        <f>VLOOKUP(G307,'Vehicle List'!A:C,3,0)</f>
        <v>Kongunadu Roadlines</v>
      </c>
      <c r="G307" s="29" t="s">
        <v>421</v>
      </c>
      <c r="H307" s="29" t="s">
        <v>1650</v>
      </c>
      <c r="I307" s="29" t="s">
        <v>1649</v>
      </c>
      <c r="J307" s="64" t="str">
        <f>VLOOKUP(G307,'Vehicle List'!A:D,4,0)</f>
        <v>Ramanathapuram</v>
      </c>
      <c r="K307" s="64" t="s">
        <v>29</v>
      </c>
      <c r="L307" s="64" t="s">
        <v>19</v>
      </c>
      <c r="M307" s="64" t="s">
        <v>19</v>
      </c>
      <c r="N307" s="101">
        <v>0.79583333333333328</v>
      </c>
      <c r="O307" s="29" t="s">
        <v>1226</v>
      </c>
      <c r="P307" s="29" t="s">
        <v>30</v>
      </c>
    </row>
    <row r="308" spans="1:16">
      <c r="A308" s="29">
        <f t="shared" si="4"/>
        <v>307</v>
      </c>
      <c r="B308" s="75">
        <v>46092</v>
      </c>
      <c r="C308" s="63" t="s">
        <v>1123</v>
      </c>
      <c r="D308" s="63" t="s">
        <v>39</v>
      </c>
      <c r="E308" s="101">
        <v>0.8041666666666667</v>
      </c>
      <c r="F308" s="64" t="str">
        <f>VLOOKUP(G308,'Vehicle List'!A:C,3,0)</f>
        <v>Kongunadu Roadlines</v>
      </c>
      <c r="G308" s="29" t="s">
        <v>589</v>
      </c>
      <c r="H308" s="29" t="s">
        <v>1652</v>
      </c>
      <c r="I308" s="29" t="s">
        <v>1651</v>
      </c>
      <c r="J308" s="64" t="str">
        <f>VLOOKUP(G308,'Vehicle List'!A:D,4,0)</f>
        <v>Dahej</v>
      </c>
      <c r="K308" s="64" t="s">
        <v>18</v>
      </c>
      <c r="L308" s="64" t="s">
        <v>19</v>
      </c>
      <c r="M308" s="64" t="s">
        <v>20</v>
      </c>
      <c r="N308" s="101">
        <v>0.81944444444444442</v>
      </c>
      <c r="O308" s="29" t="s">
        <v>1124</v>
      </c>
      <c r="P308" s="29" t="s">
        <v>21</v>
      </c>
    </row>
    <row r="309" spans="1:16">
      <c r="A309" s="29">
        <f t="shared" si="4"/>
        <v>308</v>
      </c>
      <c r="B309" s="75">
        <v>46092</v>
      </c>
      <c r="C309" s="63" t="s">
        <v>1123</v>
      </c>
      <c r="D309" s="63" t="s">
        <v>39</v>
      </c>
      <c r="E309" s="101">
        <v>0.82638888888888884</v>
      </c>
      <c r="F309" s="64" t="str">
        <f>VLOOKUP(G309,'Vehicle List'!A:C,3,0)</f>
        <v>Anmol Transport</v>
      </c>
      <c r="G309" s="29" t="s">
        <v>545</v>
      </c>
      <c r="H309" s="29" t="s">
        <v>1654</v>
      </c>
      <c r="I309" s="29" t="s">
        <v>1653</v>
      </c>
      <c r="J309" s="64" t="str">
        <f>VLOOKUP(G309,'Vehicle List'!A:D,4,0)</f>
        <v>Baghpat</v>
      </c>
      <c r="K309" s="64" t="s">
        <v>29</v>
      </c>
      <c r="L309" s="64" t="s">
        <v>19</v>
      </c>
      <c r="M309" s="64" t="s">
        <v>19</v>
      </c>
      <c r="N309" s="101">
        <v>0.82986111111111116</v>
      </c>
      <c r="O309" s="29" t="s">
        <v>1645</v>
      </c>
      <c r="P309" s="29" t="s">
        <v>30</v>
      </c>
    </row>
    <row r="310" spans="1:16">
      <c r="A310" s="29">
        <f t="shared" si="4"/>
        <v>309</v>
      </c>
      <c r="B310" s="75">
        <v>46092</v>
      </c>
      <c r="C310" s="63" t="s">
        <v>1123</v>
      </c>
      <c r="D310" s="63" t="s">
        <v>39</v>
      </c>
      <c r="E310" s="101">
        <v>0.81944444444444442</v>
      </c>
      <c r="F310" s="64" t="str">
        <f>VLOOKUP(G310,'Vehicle List'!A:C,3,0)</f>
        <v>Expo Trans India Limited</v>
      </c>
      <c r="G310" s="29" t="s">
        <v>287</v>
      </c>
      <c r="H310" s="29" t="s">
        <v>1493</v>
      </c>
      <c r="I310" s="29" t="s">
        <v>1188</v>
      </c>
      <c r="J310" s="64" t="str">
        <f>VLOOKUP(G310,'Vehicle List'!A:D,4,0)</f>
        <v>Kolar</v>
      </c>
      <c r="K310" s="64" t="s">
        <v>26</v>
      </c>
      <c r="L310" s="64" t="s">
        <v>19</v>
      </c>
      <c r="M310" s="64" t="s">
        <v>20</v>
      </c>
      <c r="N310" s="101">
        <v>0.83611111111111114</v>
      </c>
      <c r="O310" s="29" t="s">
        <v>1295</v>
      </c>
      <c r="P310" s="29" t="s">
        <v>21</v>
      </c>
    </row>
    <row r="311" spans="1:16">
      <c r="A311" s="29">
        <f t="shared" si="4"/>
        <v>310</v>
      </c>
      <c r="B311" s="75">
        <v>46092</v>
      </c>
      <c r="C311" s="63" t="s">
        <v>1123</v>
      </c>
      <c r="D311" s="63" t="s">
        <v>39</v>
      </c>
      <c r="E311" s="101">
        <v>0.81944444444444442</v>
      </c>
      <c r="F311" s="64" t="str">
        <f>VLOOKUP(G311,'Vehicle List'!A:C,3,0)</f>
        <v>Expo Trans India Limited</v>
      </c>
      <c r="G311" s="29" t="s">
        <v>287</v>
      </c>
      <c r="H311" s="29" t="s">
        <v>1493</v>
      </c>
      <c r="I311" s="29" t="s">
        <v>1188</v>
      </c>
      <c r="J311" s="64" t="str">
        <f>VLOOKUP(G311,'Vehicle List'!A:D,4,0)</f>
        <v>Kolar</v>
      </c>
      <c r="K311" s="64" t="s">
        <v>29</v>
      </c>
      <c r="L311" s="64" t="s">
        <v>19</v>
      </c>
      <c r="M311" s="64" t="s">
        <v>19</v>
      </c>
      <c r="N311" s="101">
        <v>0.83611111111111114</v>
      </c>
      <c r="O311" s="29" t="s">
        <v>1189</v>
      </c>
      <c r="P311" s="29" t="s">
        <v>30</v>
      </c>
    </row>
    <row r="312" spans="1:16">
      <c r="A312" s="29">
        <f t="shared" si="4"/>
        <v>311</v>
      </c>
      <c r="B312" s="75">
        <v>46092</v>
      </c>
      <c r="C312" s="63" t="s">
        <v>1123</v>
      </c>
      <c r="D312" s="63" t="s">
        <v>39</v>
      </c>
      <c r="E312" s="101">
        <v>0.83263888888888893</v>
      </c>
      <c r="F312" s="64" t="str">
        <f>VLOOKUP(G312,'Vehicle List'!A:C,3,0)</f>
        <v>Kongunadu Roadlines</v>
      </c>
      <c r="G312" s="29" t="s">
        <v>369</v>
      </c>
      <c r="H312" s="29" t="s">
        <v>1655</v>
      </c>
      <c r="I312" s="29" t="s">
        <v>1656</v>
      </c>
      <c r="J312" s="64" t="str">
        <f>VLOOKUP(G312,'Vehicle List'!A:D,4,0)</f>
        <v>KNCP</v>
      </c>
      <c r="K312" s="64" t="s">
        <v>18</v>
      </c>
      <c r="L312" s="64" t="s">
        <v>19</v>
      </c>
      <c r="M312" s="64" t="s">
        <v>20</v>
      </c>
      <c r="N312" s="101">
        <v>0.84027777777777779</v>
      </c>
      <c r="O312" s="29" t="s">
        <v>1286</v>
      </c>
      <c r="P312" s="29" t="s">
        <v>21</v>
      </c>
    </row>
    <row r="313" spans="1:16">
      <c r="A313" s="29">
        <f t="shared" si="4"/>
        <v>312</v>
      </c>
      <c r="B313" s="75">
        <v>46092</v>
      </c>
      <c r="C313" s="63" t="s">
        <v>85</v>
      </c>
      <c r="D313" s="63" t="s">
        <v>16</v>
      </c>
      <c r="E313" s="101">
        <v>0.46944444444444444</v>
      </c>
      <c r="F313" s="64" t="str">
        <f>VLOOKUP(G313,'Vehicle List'!A:C,3,0)</f>
        <v>Kongunadu Roadlines</v>
      </c>
      <c r="G313" s="29" t="s">
        <v>369</v>
      </c>
      <c r="H313" s="29" t="s">
        <v>1524</v>
      </c>
      <c r="I313" s="29" t="s">
        <v>1523</v>
      </c>
      <c r="J313" s="64" t="str">
        <f>VLOOKUP(G313,'Vehicle List'!A:D,4,0)</f>
        <v>KNCP</v>
      </c>
      <c r="K313" s="64" t="s">
        <v>29</v>
      </c>
      <c r="L313" s="64" t="s">
        <v>19</v>
      </c>
      <c r="M313" s="64" t="s">
        <v>19</v>
      </c>
      <c r="N313" s="101">
        <v>0.46944444444444444</v>
      </c>
      <c r="O313" s="29" t="s">
        <v>1182</v>
      </c>
      <c r="P313" s="29" t="s">
        <v>30</v>
      </c>
    </row>
    <row r="314" spans="1:16">
      <c r="A314" s="29">
        <f t="shared" si="4"/>
        <v>313</v>
      </c>
      <c r="B314" s="75">
        <v>46092</v>
      </c>
      <c r="C314" s="63" t="s">
        <v>85</v>
      </c>
      <c r="D314" s="63" t="s">
        <v>16</v>
      </c>
      <c r="E314" s="101">
        <v>0.49652777777777779</v>
      </c>
      <c r="F314" s="64" t="str">
        <f>VLOOKUP(G314,'Vehicle List'!A:C,3,0)</f>
        <v>Green Planet</v>
      </c>
      <c r="G314" s="29" t="s">
        <v>35</v>
      </c>
      <c r="H314" s="29" t="s">
        <v>1658</v>
      </c>
      <c r="I314" s="29" t="s">
        <v>1659</v>
      </c>
      <c r="J314" s="64" t="str">
        <f>VLOOKUP(G314,'Vehicle List'!A:D,4,0)</f>
        <v>Ennore</v>
      </c>
      <c r="K314" s="64" t="s">
        <v>29</v>
      </c>
      <c r="L314" s="64" t="s">
        <v>19</v>
      </c>
      <c r="M314" s="64" t="s">
        <v>19</v>
      </c>
      <c r="N314" s="101">
        <v>0.49652777777777779</v>
      </c>
      <c r="O314" s="29" t="s">
        <v>1673</v>
      </c>
      <c r="P314" s="29" t="s">
        <v>21</v>
      </c>
    </row>
    <row r="315" spans="1:16">
      <c r="A315" s="29">
        <f t="shared" si="4"/>
        <v>314</v>
      </c>
      <c r="B315" s="75">
        <v>46092</v>
      </c>
      <c r="C315" s="63" t="s">
        <v>85</v>
      </c>
      <c r="D315" s="63" t="s">
        <v>16</v>
      </c>
      <c r="E315" s="101">
        <v>0.49791666666666667</v>
      </c>
      <c r="F315" s="64" t="str">
        <f>VLOOKUP(G315,'Vehicle List'!A:C,3,0)</f>
        <v>Anmol Transport</v>
      </c>
      <c r="G315" s="29" t="s">
        <v>554</v>
      </c>
      <c r="H315" s="29" t="s">
        <v>1669</v>
      </c>
      <c r="I315" s="29" t="s">
        <v>1670</v>
      </c>
      <c r="J315" s="64" t="str">
        <f>VLOOKUP(G315,'Vehicle List'!A:D,4,0)</f>
        <v>Jalandhar</v>
      </c>
      <c r="K315" s="64" t="s">
        <v>1171</v>
      </c>
      <c r="L315" s="64" t="s">
        <v>19</v>
      </c>
      <c r="M315" s="64" t="s">
        <v>20</v>
      </c>
      <c r="N315" s="101">
        <v>4.3749999999999997E-2</v>
      </c>
      <c r="O315" s="29" t="s">
        <v>1204</v>
      </c>
      <c r="P315" s="29" t="s">
        <v>21</v>
      </c>
    </row>
    <row r="316" spans="1:16">
      <c r="A316" s="29">
        <f t="shared" si="4"/>
        <v>315</v>
      </c>
      <c r="B316" s="75">
        <v>46093</v>
      </c>
      <c r="C316" s="63" t="s">
        <v>85</v>
      </c>
      <c r="D316" s="63" t="s">
        <v>16</v>
      </c>
      <c r="E316" s="101">
        <v>4.8611111111111112E-3</v>
      </c>
      <c r="F316" s="64" t="str">
        <f>VLOOKUP(G316,'Vehicle List'!A:C,3,0)</f>
        <v>Kongunadu Roadlines</v>
      </c>
      <c r="G316" s="29" t="s">
        <v>311</v>
      </c>
      <c r="H316" s="29" t="s">
        <v>1671</v>
      </c>
      <c r="I316" s="29" t="s">
        <v>1648</v>
      </c>
      <c r="J316" s="64" t="str">
        <f>VLOOKUP(G316,'Vehicle List'!A:D,4,0)</f>
        <v>KNCP</v>
      </c>
      <c r="K316" s="64" t="s">
        <v>26</v>
      </c>
      <c r="L316" s="64" t="s">
        <v>19</v>
      </c>
      <c r="M316" s="64" t="s">
        <v>20</v>
      </c>
      <c r="N316" s="101">
        <v>4.7222222222222221E-2</v>
      </c>
      <c r="O316" s="29" t="s">
        <v>1286</v>
      </c>
      <c r="P316" s="29" t="s">
        <v>21</v>
      </c>
    </row>
    <row r="317" spans="1:16">
      <c r="A317" s="29">
        <f t="shared" si="4"/>
        <v>316</v>
      </c>
      <c r="B317" s="75">
        <v>46093</v>
      </c>
      <c r="C317" s="63" t="s">
        <v>85</v>
      </c>
      <c r="D317" s="63" t="s">
        <v>16</v>
      </c>
      <c r="E317" s="101">
        <v>2.6388888888888889E-2</v>
      </c>
      <c r="F317" s="64" t="str">
        <f>VLOOKUP(G317,'Vehicle List'!A:C,3,0)</f>
        <v>Kongunadu Roadlines</v>
      </c>
      <c r="G317" s="29" t="s">
        <v>74</v>
      </c>
      <c r="H317" s="29" t="s">
        <v>740</v>
      </c>
      <c r="I317" s="29" t="s">
        <v>741</v>
      </c>
      <c r="J317" s="64" t="str">
        <f>VLOOKUP(G317,'Vehicle List'!A:D,4,0)</f>
        <v>Ennore</v>
      </c>
      <c r="K317" s="64" t="s">
        <v>29</v>
      </c>
      <c r="L317" s="64" t="s">
        <v>19</v>
      </c>
      <c r="M317" s="64" t="s">
        <v>19</v>
      </c>
      <c r="N317" s="101">
        <v>2.6388888888888889E-2</v>
      </c>
      <c r="O317" s="29" t="s">
        <v>1676</v>
      </c>
      <c r="P317" s="29" t="s">
        <v>21</v>
      </c>
    </row>
    <row r="318" spans="1:16">
      <c r="A318" s="29">
        <f t="shared" si="4"/>
        <v>317</v>
      </c>
      <c r="B318" s="75">
        <v>46093</v>
      </c>
      <c r="C318" s="63" t="s">
        <v>85</v>
      </c>
      <c r="D318" s="63" t="s">
        <v>16</v>
      </c>
      <c r="E318" s="101">
        <v>3.3333333333333333E-2</v>
      </c>
      <c r="F318" s="64" t="str">
        <f>VLOOKUP(G318,'Vehicle List'!A:C,3,0)</f>
        <v>Kongunadu Roadlines</v>
      </c>
      <c r="G318" s="29" t="s">
        <v>623</v>
      </c>
      <c r="H318" s="29" t="s">
        <v>1660</v>
      </c>
      <c r="I318" s="29" t="s">
        <v>1661</v>
      </c>
      <c r="J318" s="64" t="str">
        <f>VLOOKUP(G318,'Vehicle List'!A:D,4,0)</f>
        <v>Dahej</v>
      </c>
      <c r="K318" s="64" t="s">
        <v>29</v>
      </c>
      <c r="L318" s="64" t="s">
        <v>19</v>
      </c>
      <c r="M318" s="64" t="s">
        <v>19</v>
      </c>
      <c r="N318" s="101">
        <v>3.3333333333333333E-2</v>
      </c>
      <c r="O318" s="29" t="s">
        <v>1260</v>
      </c>
      <c r="P318" s="29" t="s">
        <v>30</v>
      </c>
    </row>
    <row r="319" spans="1:16">
      <c r="A319" s="29">
        <f t="shared" si="4"/>
        <v>318</v>
      </c>
      <c r="B319" s="75">
        <v>46093</v>
      </c>
      <c r="C319" s="63" t="s">
        <v>85</v>
      </c>
      <c r="D319" s="63" t="s">
        <v>16</v>
      </c>
      <c r="E319" s="101">
        <v>4.6527777777777779E-2</v>
      </c>
      <c r="F319" s="64" t="str">
        <f>VLOOKUP(G319,'Vehicle List'!A:C,3,0)</f>
        <v>Kongunadu Roadlines</v>
      </c>
      <c r="G319" s="29" t="s">
        <v>44</v>
      </c>
      <c r="H319" s="29" t="s">
        <v>1672</v>
      </c>
      <c r="I319" s="29" t="s">
        <v>1084</v>
      </c>
      <c r="J319" s="64" t="str">
        <f>VLOOKUP(G319,'Vehicle List'!A:D,4,0)</f>
        <v>Vellore</v>
      </c>
      <c r="K319" s="64" t="s">
        <v>1171</v>
      </c>
      <c r="L319" s="64" t="s">
        <v>19</v>
      </c>
      <c r="M319" s="64" t="s">
        <v>20</v>
      </c>
      <c r="N319" s="101">
        <v>6.9444444444444448E-2</v>
      </c>
      <c r="O319" s="29" t="s">
        <v>1674</v>
      </c>
      <c r="P319" s="29" t="s">
        <v>21</v>
      </c>
    </row>
    <row r="320" spans="1:16">
      <c r="A320" s="29">
        <f t="shared" si="4"/>
        <v>319</v>
      </c>
      <c r="B320" s="75">
        <v>46093</v>
      </c>
      <c r="C320" s="63" t="s">
        <v>85</v>
      </c>
      <c r="D320" s="63" t="s">
        <v>16</v>
      </c>
      <c r="E320" s="101">
        <v>0.10555555555555556</v>
      </c>
      <c r="F320" s="64" t="str">
        <f>VLOOKUP(G320,'Vehicle List'!A:C,3,0)</f>
        <v>Rahul Roadlines</v>
      </c>
      <c r="G320" s="29" t="s">
        <v>43</v>
      </c>
      <c r="H320" s="29" t="s">
        <v>1662</v>
      </c>
      <c r="I320" s="29" t="s">
        <v>1663</v>
      </c>
      <c r="J320" s="64" t="str">
        <f>VLOOKUP(G320,'Vehicle List'!A:D,4,0)</f>
        <v>ANK</v>
      </c>
      <c r="K320" s="64" t="s">
        <v>29</v>
      </c>
      <c r="L320" s="64" t="s">
        <v>19</v>
      </c>
      <c r="M320" s="64" t="s">
        <v>19</v>
      </c>
      <c r="N320" s="101">
        <v>0.10555555555555556</v>
      </c>
      <c r="O320" s="29" t="s">
        <v>1226</v>
      </c>
      <c r="P320" s="29" t="s">
        <v>30</v>
      </c>
    </row>
    <row r="321" spans="1:16">
      <c r="A321" s="29">
        <f t="shared" si="4"/>
        <v>320</v>
      </c>
      <c r="B321" s="75">
        <v>46093</v>
      </c>
      <c r="C321" s="63" t="s">
        <v>85</v>
      </c>
      <c r="D321" s="63" t="s">
        <v>16</v>
      </c>
      <c r="E321" s="101">
        <v>0.11180555555555556</v>
      </c>
      <c r="F321" s="64" t="str">
        <f>VLOOKUP(G321,'Vehicle List'!A:C,3,0)</f>
        <v>Expo Trans India Limited</v>
      </c>
      <c r="G321" s="29" t="s">
        <v>1128</v>
      </c>
      <c r="H321" s="29" t="s">
        <v>1668</v>
      </c>
      <c r="I321" s="29" t="s">
        <v>1419</v>
      </c>
      <c r="J321" s="64" t="str">
        <f>VLOOKUP(G321,'Vehicle List'!A:D,4,0)</f>
        <v>Kochi</v>
      </c>
      <c r="K321" s="64" t="s">
        <v>1171</v>
      </c>
      <c r="L321" s="64" t="s">
        <v>19</v>
      </c>
      <c r="M321" s="64" t="s">
        <v>20</v>
      </c>
      <c r="N321" s="101">
        <v>0.17083333333333334</v>
      </c>
      <c r="O321" s="29" t="s">
        <v>1244</v>
      </c>
      <c r="P321" s="29" t="s">
        <v>21</v>
      </c>
    </row>
    <row r="322" spans="1:16">
      <c r="A322" s="29">
        <f t="shared" si="4"/>
        <v>321</v>
      </c>
      <c r="B322" s="75">
        <v>46093</v>
      </c>
      <c r="C322" s="63" t="s">
        <v>85</v>
      </c>
      <c r="D322" s="63" t="s">
        <v>16</v>
      </c>
      <c r="E322" s="101">
        <v>0.12083333333333333</v>
      </c>
      <c r="F322" s="64" t="str">
        <f>VLOOKUP(G322,'Vehicle List'!A:C,3,0)</f>
        <v>Expo Trans India Limited</v>
      </c>
      <c r="G322" s="29" t="s">
        <v>357</v>
      </c>
      <c r="H322" s="29" t="s">
        <v>1666</v>
      </c>
      <c r="I322" s="29" t="s">
        <v>1667</v>
      </c>
      <c r="J322" s="64" t="str">
        <f>VLOOKUP(G322,'Vehicle List'!A:D,4,0)</f>
        <v>BKR</v>
      </c>
      <c r="K322" s="64" t="s">
        <v>1171</v>
      </c>
      <c r="L322" s="64" t="s">
        <v>19</v>
      </c>
      <c r="M322" s="64" t="s">
        <v>20</v>
      </c>
      <c r="N322" s="101">
        <v>0.17430555555555555</v>
      </c>
      <c r="O322" s="29" t="s">
        <v>1675</v>
      </c>
      <c r="P322" s="29" t="s">
        <v>21</v>
      </c>
    </row>
    <row r="323" spans="1:16">
      <c r="A323" s="29">
        <f t="shared" ref="A323:A388" si="5">A322+1</f>
        <v>322</v>
      </c>
      <c r="B323" s="75">
        <v>46093</v>
      </c>
      <c r="C323" s="63" t="s">
        <v>85</v>
      </c>
      <c r="D323" s="63" t="s">
        <v>16</v>
      </c>
      <c r="E323" s="101">
        <v>0.15972222222222221</v>
      </c>
      <c r="F323" s="64" t="str">
        <f>VLOOKUP(G323,'Vehicle List'!A:C,3,0)</f>
        <v>Anmol Transport</v>
      </c>
      <c r="G323" s="29" t="s">
        <v>555</v>
      </c>
      <c r="H323" s="29" t="s">
        <v>1664</v>
      </c>
      <c r="I323" s="29" t="s">
        <v>1665</v>
      </c>
      <c r="J323" s="64" t="str">
        <f>VLOOKUP(G323,'Vehicle List'!A:D,4,0)</f>
        <v>Jalandhar</v>
      </c>
      <c r="K323" s="64" t="s">
        <v>1173</v>
      </c>
      <c r="L323" s="64" t="s">
        <v>19</v>
      </c>
      <c r="M323" s="64" t="s">
        <v>20</v>
      </c>
      <c r="N323" s="101">
        <v>0.17777777777777778</v>
      </c>
      <c r="O323" s="29" t="s">
        <v>1204</v>
      </c>
      <c r="P323" s="29" t="s">
        <v>21</v>
      </c>
    </row>
    <row r="324" spans="1:16">
      <c r="A324" s="29">
        <f t="shared" si="5"/>
        <v>323</v>
      </c>
      <c r="B324" s="75">
        <v>46093</v>
      </c>
      <c r="C324" s="63" t="s">
        <v>85</v>
      </c>
      <c r="D324" s="63" t="s">
        <v>16</v>
      </c>
      <c r="E324" s="101">
        <v>0.16597222222222222</v>
      </c>
      <c r="F324" s="64" t="str">
        <f>VLOOKUP(G324,'Vehicle List'!A:C,3,0)</f>
        <v>Green Planet</v>
      </c>
      <c r="G324" s="29" t="s">
        <v>627</v>
      </c>
      <c r="H324" s="29" t="s">
        <v>1427</v>
      </c>
      <c r="I324" s="29" t="s">
        <v>1428</v>
      </c>
      <c r="J324" s="64" t="str">
        <f>VLOOKUP(G324,'Vehicle List'!A:D,4,0)</f>
        <v>Kochi</v>
      </c>
      <c r="K324" s="64" t="s">
        <v>29</v>
      </c>
      <c r="L324" s="64" t="s">
        <v>19</v>
      </c>
      <c r="M324" s="64" t="s">
        <v>19</v>
      </c>
      <c r="N324" s="101">
        <v>0.16597222222222222</v>
      </c>
      <c r="O324" s="29" t="s">
        <v>1226</v>
      </c>
      <c r="P324" s="29" t="s">
        <v>30</v>
      </c>
    </row>
    <row r="325" spans="1:16">
      <c r="A325" s="29">
        <f t="shared" si="5"/>
        <v>324</v>
      </c>
      <c r="B325" s="75">
        <v>46093</v>
      </c>
      <c r="C325" s="63" t="s">
        <v>1268</v>
      </c>
      <c r="D325" s="63" t="s">
        <v>28</v>
      </c>
      <c r="E325" s="101">
        <v>0.26805555555555555</v>
      </c>
      <c r="F325" s="64" t="str">
        <f>VLOOKUP(G325,'Vehicle List'!A:C,3,0)</f>
        <v>Sritransways Logistics</v>
      </c>
      <c r="G325" s="29" t="s">
        <v>42</v>
      </c>
      <c r="H325" s="29" t="s">
        <v>1683</v>
      </c>
      <c r="I325" s="29" t="s">
        <v>1684</v>
      </c>
      <c r="J325" s="64" t="str">
        <f>VLOOKUP(G325,'Vehicle List'!A:D,4,0)</f>
        <v>AKT</v>
      </c>
      <c r="K325" s="64" t="s">
        <v>1173</v>
      </c>
      <c r="L325" s="64" t="s">
        <v>19</v>
      </c>
      <c r="M325" s="64" t="s">
        <v>20</v>
      </c>
      <c r="N325" s="101">
        <v>0.26805555555555555</v>
      </c>
      <c r="O325" s="29" t="s">
        <v>1227</v>
      </c>
      <c r="P325" s="29" t="s">
        <v>21</v>
      </c>
    </row>
    <row r="326" spans="1:16">
      <c r="A326" s="29">
        <f t="shared" si="5"/>
        <v>325</v>
      </c>
      <c r="B326" s="75">
        <v>46093</v>
      </c>
      <c r="C326" s="63" t="s">
        <v>1268</v>
      </c>
      <c r="D326" s="63" t="s">
        <v>28</v>
      </c>
      <c r="E326" s="101">
        <v>0.2722222222222222</v>
      </c>
      <c r="F326" s="64" t="str">
        <f>VLOOKUP(G326,'Vehicle List'!A:C,3,0)</f>
        <v>Kongunadu Roadlines</v>
      </c>
      <c r="G326" s="29" t="s">
        <v>276</v>
      </c>
      <c r="H326" s="29" t="s">
        <v>1287</v>
      </c>
      <c r="I326" s="29" t="s">
        <v>1288</v>
      </c>
      <c r="J326" s="64" t="str">
        <f>VLOOKUP(G326,'Vehicle List'!A:D,4,0)</f>
        <v>KNCP</v>
      </c>
      <c r="K326" s="64" t="s">
        <v>29</v>
      </c>
      <c r="L326" s="64" t="s">
        <v>19</v>
      </c>
      <c r="M326" s="64" t="s">
        <v>19</v>
      </c>
      <c r="N326" s="101">
        <v>0.2722222222222222</v>
      </c>
      <c r="O326" s="29" t="s">
        <v>1226</v>
      </c>
      <c r="P326" s="29" t="s">
        <v>30</v>
      </c>
    </row>
    <row r="327" spans="1:16">
      <c r="A327" s="29">
        <f t="shared" si="5"/>
        <v>326</v>
      </c>
      <c r="B327" s="75">
        <v>46093</v>
      </c>
      <c r="C327" s="63" t="s">
        <v>1268</v>
      </c>
      <c r="D327" s="63" t="s">
        <v>28</v>
      </c>
      <c r="E327" s="101">
        <v>0.27430555555555558</v>
      </c>
      <c r="F327" s="64" t="str">
        <f>VLOOKUP(G327,'Vehicle List'!A:C,3,0)</f>
        <v>Kongunadu Roadlines</v>
      </c>
      <c r="G327" s="29" t="s">
        <v>397</v>
      </c>
      <c r="H327" s="29" t="s">
        <v>1587</v>
      </c>
      <c r="I327" s="29" t="s">
        <v>1588</v>
      </c>
      <c r="J327" s="64" t="str">
        <f>VLOOKUP(G327,'Vehicle List'!A:D,4,0)</f>
        <v>KNCP</v>
      </c>
      <c r="K327" s="64" t="s">
        <v>29</v>
      </c>
      <c r="L327" s="64" t="s">
        <v>19</v>
      </c>
      <c r="M327" s="64" t="s">
        <v>19</v>
      </c>
      <c r="N327" s="101">
        <v>0.27430555555555558</v>
      </c>
      <c r="O327" s="29" t="s">
        <v>1284</v>
      </c>
      <c r="P327" s="29" t="s">
        <v>30</v>
      </c>
    </row>
    <row r="328" spans="1:16">
      <c r="A328" s="29">
        <f t="shared" si="5"/>
        <v>327</v>
      </c>
      <c r="B328" s="75">
        <v>46093</v>
      </c>
      <c r="C328" s="63" t="s">
        <v>1268</v>
      </c>
      <c r="D328" s="63" t="s">
        <v>28</v>
      </c>
      <c r="E328" s="101">
        <v>0.30625000000000002</v>
      </c>
      <c r="F328" s="64" t="str">
        <f>VLOOKUP(G328,'Vehicle List'!A:C,3,0)</f>
        <v>Green Planet</v>
      </c>
      <c r="G328" s="29" t="s">
        <v>627</v>
      </c>
      <c r="H328" s="29" t="s">
        <v>1682</v>
      </c>
      <c r="I328" s="29" t="s">
        <v>1428</v>
      </c>
      <c r="J328" s="64" t="str">
        <f>VLOOKUP(G328,'Vehicle List'!A:D,4,0)</f>
        <v>Kochi</v>
      </c>
      <c r="K328" s="64" t="s">
        <v>24</v>
      </c>
      <c r="L328" s="64" t="s">
        <v>19</v>
      </c>
      <c r="M328" s="64" t="s">
        <v>20</v>
      </c>
      <c r="N328" s="101">
        <v>0.37569444444444444</v>
      </c>
      <c r="O328" s="29" t="s">
        <v>1244</v>
      </c>
      <c r="P328" s="29" t="s">
        <v>21</v>
      </c>
    </row>
    <row r="329" spans="1:16">
      <c r="A329" s="29">
        <f t="shared" si="5"/>
        <v>328</v>
      </c>
      <c r="B329" s="75">
        <v>46093</v>
      </c>
      <c r="C329" s="63" t="s">
        <v>1268</v>
      </c>
      <c r="D329" s="63" t="s">
        <v>28</v>
      </c>
      <c r="E329" s="101">
        <v>0.32500000000000001</v>
      </c>
      <c r="F329" s="64" t="str">
        <f>VLOOKUP(G329,'Vehicle List'!A:C,3,0)</f>
        <v>Kongunadu Roadlines</v>
      </c>
      <c r="G329" s="29" t="s">
        <v>297</v>
      </c>
      <c r="H329" s="29" t="s">
        <v>1460</v>
      </c>
      <c r="I329" s="29" t="s">
        <v>1355</v>
      </c>
      <c r="J329" s="64" t="str">
        <f>VLOOKUP(G329,'Vehicle List'!A:D,4,0)</f>
        <v>AKT</v>
      </c>
      <c r="K329" s="64" t="s">
        <v>26</v>
      </c>
      <c r="L329" s="64" t="s">
        <v>19</v>
      </c>
      <c r="M329" s="64" t="s">
        <v>20</v>
      </c>
      <c r="N329" s="101">
        <v>0.37847222222222221</v>
      </c>
      <c r="O329" s="29" t="s">
        <v>1227</v>
      </c>
      <c r="P329" s="29" t="s">
        <v>21</v>
      </c>
    </row>
    <row r="330" spans="1:16">
      <c r="A330" s="29">
        <f t="shared" si="5"/>
        <v>329</v>
      </c>
      <c r="B330" s="75">
        <v>46093</v>
      </c>
      <c r="C330" s="63" t="s">
        <v>1268</v>
      </c>
      <c r="D330" s="63" t="s">
        <v>28</v>
      </c>
      <c r="E330" s="101">
        <v>0.38611111111111113</v>
      </c>
      <c r="F330" s="64" t="str">
        <f>VLOOKUP(G330,'Vehicle List'!A:C,3,0)</f>
        <v>Rahul Roadlines</v>
      </c>
      <c r="G330" s="29" t="s">
        <v>77</v>
      </c>
      <c r="H330" s="29" t="s">
        <v>1348</v>
      </c>
      <c r="I330" s="29" t="s">
        <v>1347</v>
      </c>
      <c r="J330" s="64" t="str">
        <f>VLOOKUP(G330,'Vehicle List'!A:D,4,0)</f>
        <v>BJJ</v>
      </c>
      <c r="K330" s="64" t="s">
        <v>29</v>
      </c>
      <c r="L330" s="64" t="s">
        <v>19</v>
      </c>
      <c r="M330" s="64" t="s">
        <v>19</v>
      </c>
      <c r="N330" s="101">
        <v>0.38611111111111113</v>
      </c>
      <c r="O330" s="29" t="s">
        <v>1543</v>
      </c>
      <c r="P330" s="29" t="s">
        <v>30</v>
      </c>
    </row>
    <row r="331" spans="1:16">
      <c r="A331" s="29">
        <f t="shared" si="5"/>
        <v>330</v>
      </c>
      <c r="B331" s="75">
        <v>46093</v>
      </c>
      <c r="C331" s="63" t="s">
        <v>1268</v>
      </c>
      <c r="D331" s="63" t="s">
        <v>28</v>
      </c>
      <c r="E331" s="101">
        <v>0.39791666666666664</v>
      </c>
      <c r="F331" s="64" t="str">
        <f>VLOOKUP(G331,'Vehicle List'!A:C,3,0)</f>
        <v>Anisha Logistics</v>
      </c>
      <c r="G331" s="29" t="s">
        <v>456</v>
      </c>
      <c r="H331" s="29" t="s">
        <v>1231</v>
      </c>
      <c r="I331" s="29" t="s">
        <v>1232</v>
      </c>
      <c r="J331" s="64" t="str">
        <f>VLOOKUP(G331,'Vehicle List'!A:D,4,0)</f>
        <v>BJJ</v>
      </c>
      <c r="K331" s="64" t="s">
        <v>29</v>
      </c>
      <c r="L331" s="64" t="s">
        <v>19</v>
      </c>
      <c r="M331" s="64" t="s">
        <v>19</v>
      </c>
      <c r="N331" s="101">
        <v>0.39791666666666664</v>
      </c>
      <c r="O331" s="29" t="s">
        <v>1195</v>
      </c>
      <c r="P331" s="29" t="s">
        <v>30</v>
      </c>
    </row>
    <row r="332" spans="1:16">
      <c r="A332" s="29">
        <f t="shared" si="5"/>
        <v>331</v>
      </c>
      <c r="B332" s="75">
        <v>46093</v>
      </c>
      <c r="C332" s="63" t="s">
        <v>1268</v>
      </c>
      <c r="D332" s="63" t="s">
        <v>28</v>
      </c>
      <c r="E332" s="101">
        <v>0.42708333333333331</v>
      </c>
      <c r="F332" s="64" t="str">
        <f>VLOOKUP(G332,'Vehicle List'!A:C,3,0)</f>
        <v>Rahul Roadlines</v>
      </c>
      <c r="G332" s="29" t="s">
        <v>23</v>
      </c>
      <c r="H332" s="29" t="s">
        <v>1441</v>
      </c>
      <c r="I332" s="29" t="s">
        <v>1442</v>
      </c>
      <c r="J332" s="64" t="str">
        <f>VLOOKUP(G332,'Vehicle List'!A:D,4,0)</f>
        <v>BJJ</v>
      </c>
      <c r="K332" s="64" t="s">
        <v>29</v>
      </c>
      <c r="L332" s="64" t="s">
        <v>19</v>
      </c>
      <c r="M332" s="64" t="s">
        <v>19</v>
      </c>
      <c r="N332" s="101">
        <v>0.42708333333333331</v>
      </c>
      <c r="O332" s="29" t="s">
        <v>1543</v>
      </c>
      <c r="P332" s="29" t="s">
        <v>30</v>
      </c>
    </row>
    <row r="333" spans="1:16">
      <c r="A333" s="29">
        <f t="shared" si="5"/>
        <v>332</v>
      </c>
      <c r="B333" s="75">
        <v>46093</v>
      </c>
      <c r="C333" s="63" t="s">
        <v>1268</v>
      </c>
      <c r="D333" s="63" t="s">
        <v>28</v>
      </c>
      <c r="E333" s="101">
        <v>0.42708333333333331</v>
      </c>
      <c r="F333" s="64" t="str">
        <f>VLOOKUP(G333,'Vehicle List'!A:C,3,0)</f>
        <v>Sritransways Logistics</v>
      </c>
      <c r="G333" s="29" t="s">
        <v>469</v>
      </c>
      <c r="H333" s="29" t="s">
        <v>1680</v>
      </c>
      <c r="I333" s="29" t="s">
        <v>1681</v>
      </c>
      <c r="J333" s="64" t="str">
        <f>VLOOKUP(G333,'Vehicle List'!A:D,4,0)</f>
        <v>AKT</v>
      </c>
      <c r="K333" s="64" t="s">
        <v>24</v>
      </c>
      <c r="L333" s="64" t="s">
        <v>19</v>
      </c>
      <c r="M333" s="64" t="s">
        <v>20</v>
      </c>
      <c r="N333" s="101">
        <v>0.42708333333333331</v>
      </c>
      <c r="O333" s="29" t="s">
        <v>1227</v>
      </c>
      <c r="P333" s="29" t="s">
        <v>21</v>
      </c>
    </row>
    <row r="334" spans="1:16">
      <c r="A334" s="29">
        <f t="shared" si="5"/>
        <v>333</v>
      </c>
      <c r="B334" s="75">
        <v>46093</v>
      </c>
      <c r="C334" s="63" t="s">
        <v>1268</v>
      </c>
      <c r="D334" s="63" t="s">
        <v>28</v>
      </c>
      <c r="E334" s="101">
        <v>0.51388888888888884</v>
      </c>
      <c r="F334" s="64" t="str">
        <f>VLOOKUP(G334,'Vehicle List'!A:C,3,0)</f>
        <v>Kongunadu Roadlines</v>
      </c>
      <c r="G334" s="29" t="s">
        <v>36</v>
      </c>
      <c r="H334" s="29" t="s">
        <v>1596</v>
      </c>
      <c r="I334" s="29" t="s">
        <v>1370</v>
      </c>
      <c r="J334" s="64" t="str">
        <f>VLOOKUP(G334,'Vehicle List'!A:D,4,0)</f>
        <v>KNCP</v>
      </c>
      <c r="K334" s="64" t="s">
        <v>29</v>
      </c>
      <c r="L334" s="64" t="s">
        <v>19</v>
      </c>
      <c r="M334" s="64" t="s">
        <v>19</v>
      </c>
      <c r="N334" s="101">
        <v>0.51388888888888884</v>
      </c>
      <c r="O334" s="29" t="s">
        <v>1633</v>
      </c>
      <c r="P334" s="29" t="s">
        <v>30</v>
      </c>
    </row>
    <row r="335" spans="1:16">
      <c r="A335" s="29">
        <f t="shared" si="5"/>
        <v>334</v>
      </c>
      <c r="B335" s="75">
        <v>46093</v>
      </c>
      <c r="C335" s="63" t="s">
        <v>1268</v>
      </c>
      <c r="D335" s="63" t="s">
        <v>28</v>
      </c>
      <c r="E335" s="101">
        <v>0.52222222222222225</v>
      </c>
      <c r="F335" s="64" t="str">
        <f>VLOOKUP(G335,'Vehicle List'!A:C,3,0)</f>
        <v>Kongunadu Roadlines</v>
      </c>
      <c r="G335" s="29" t="s">
        <v>369</v>
      </c>
      <c r="H335" s="29" t="s">
        <v>1524</v>
      </c>
      <c r="I335" s="29" t="s">
        <v>1523</v>
      </c>
      <c r="J335" s="64" t="str">
        <f>VLOOKUP(G335,'Vehicle List'!A:D,4,0)</f>
        <v>KNCP</v>
      </c>
      <c r="K335" s="64" t="s">
        <v>29</v>
      </c>
      <c r="L335" s="64" t="s">
        <v>19</v>
      </c>
      <c r="M335" s="64" t="s">
        <v>19</v>
      </c>
      <c r="N335" s="101">
        <v>0.52222222222222225</v>
      </c>
      <c r="O335" s="29" t="s">
        <v>1195</v>
      </c>
      <c r="P335" s="29" t="s">
        <v>30</v>
      </c>
    </row>
    <row r="336" spans="1:16">
      <c r="A336" s="29">
        <f t="shared" si="5"/>
        <v>335</v>
      </c>
      <c r="B336" s="75">
        <v>46093</v>
      </c>
      <c r="C336" s="63" t="s">
        <v>1268</v>
      </c>
      <c r="D336" s="63" t="s">
        <v>28</v>
      </c>
      <c r="E336" s="101">
        <v>0.51388888888888884</v>
      </c>
      <c r="F336" s="64" t="str">
        <f>VLOOKUP(G336,'Vehicle List'!A:C,3,0)</f>
        <v>Sritransways Logistics</v>
      </c>
      <c r="G336" s="29" t="s">
        <v>574</v>
      </c>
      <c r="H336" s="29" t="s">
        <v>1678</v>
      </c>
      <c r="I336" s="29" t="s">
        <v>1679</v>
      </c>
      <c r="J336" s="64" t="str">
        <f>VLOOKUP(G336,'Vehicle List'!A:D,4,0)</f>
        <v>AKT</v>
      </c>
      <c r="K336" s="64" t="s">
        <v>26</v>
      </c>
      <c r="L336" s="64" t="s">
        <v>19</v>
      </c>
      <c r="M336" s="64" t="s">
        <v>20</v>
      </c>
      <c r="N336" s="101">
        <v>0.53888888888888886</v>
      </c>
      <c r="O336" s="29" t="s">
        <v>1227</v>
      </c>
      <c r="P336" s="29" t="s">
        <v>21</v>
      </c>
    </row>
    <row r="337" spans="1:16">
      <c r="A337" s="29">
        <f t="shared" si="5"/>
        <v>336</v>
      </c>
      <c r="B337" s="75">
        <v>46093</v>
      </c>
      <c r="C337" s="63" t="s">
        <v>1268</v>
      </c>
      <c r="D337" s="63" t="s">
        <v>28</v>
      </c>
      <c r="E337" s="101">
        <v>8.9583333333333334E-2</v>
      </c>
      <c r="F337" s="64" t="str">
        <f>VLOOKUP(G337,'Vehicle List'!A:C,3,0)</f>
        <v>Sritransways Logistics</v>
      </c>
      <c r="G337" s="29" t="s">
        <v>17</v>
      </c>
      <c r="H337" s="29" t="s">
        <v>1686</v>
      </c>
      <c r="I337" s="29" t="s">
        <v>1687</v>
      </c>
      <c r="J337" s="64" t="str">
        <f>VLOOKUP(G337,'Vehicle List'!A:D,4,0)</f>
        <v>AKT</v>
      </c>
      <c r="K337" s="64" t="s">
        <v>29</v>
      </c>
      <c r="L337" s="64" t="s">
        <v>19</v>
      </c>
      <c r="M337" s="64" t="s">
        <v>19</v>
      </c>
      <c r="N337" s="101">
        <v>8.9583333333333334E-2</v>
      </c>
      <c r="O337" s="29" t="s">
        <v>1260</v>
      </c>
      <c r="P337" s="29" t="s">
        <v>30</v>
      </c>
    </row>
    <row r="338" spans="1:16">
      <c r="A338" s="29">
        <f t="shared" si="5"/>
        <v>337</v>
      </c>
      <c r="B338" s="75">
        <v>46093</v>
      </c>
      <c r="C338" s="63" t="s">
        <v>1123</v>
      </c>
      <c r="D338" s="63" t="s">
        <v>39</v>
      </c>
      <c r="E338" s="101">
        <v>0.50347222222222221</v>
      </c>
      <c r="F338" s="64" t="str">
        <f>VLOOKUP(G338,'Vehicle List'!A:C,3,0)</f>
        <v>Expo Trans India Limited</v>
      </c>
      <c r="G338" s="29" t="s">
        <v>538</v>
      </c>
      <c r="H338" s="29" t="s">
        <v>1689</v>
      </c>
      <c r="I338" s="29" t="s">
        <v>1690</v>
      </c>
      <c r="J338" s="64" t="str">
        <f>VLOOKUP(G338,'Vehicle List'!A:D,4,0)</f>
        <v>Jalandhar</v>
      </c>
      <c r="K338" s="64" t="s">
        <v>1174</v>
      </c>
      <c r="L338" s="64" t="s">
        <v>19</v>
      </c>
      <c r="M338" s="64" t="s">
        <v>20</v>
      </c>
      <c r="N338" s="101">
        <v>0.6118055555555556</v>
      </c>
      <c r="O338" s="29" t="s">
        <v>1204</v>
      </c>
      <c r="P338" s="29" t="s">
        <v>21</v>
      </c>
    </row>
    <row r="339" spans="1:16">
      <c r="A339" s="29">
        <f t="shared" si="5"/>
        <v>338</v>
      </c>
      <c r="B339" s="75">
        <v>46093</v>
      </c>
      <c r="C339" s="63" t="s">
        <v>1123</v>
      </c>
      <c r="D339" s="63" t="s">
        <v>39</v>
      </c>
      <c r="E339" s="101">
        <v>0.52013888888888893</v>
      </c>
      <c r="F339" s="64" t="str">
        <f>VLOOKUP(G339,'Vehicle List'!A:C,3,0)</f>
        <v>Chaudhary Transport</v>
      </c>
      <c r="G339" s="29" t="s">
        <v>572</v>
      </c>
      <c r="H339" s="29" t="s">
        <v>1343</v>
      </c>
      <c r="I339" s="29" t="s">
        <v>1344</v>
      </c>
      <c r="J339" s="64" t="str">
        <f>VLOOKUP(G339,'Vehicle List'!A:D,4,0)</f>
        <v>KNCP</v>
      </c>
      <c r="K339" s="64" t="s">
        <v>26</v>
      </c>
      <c r="L339" s="64" t="s">
        <v>19</v>
      </c>
      <c r="M339" s="64" t="s">
        <v>20</v>
      </c>
      <c r="N339" s="101">
        <v>0.6166666666666667</v>
      </c>
      <c r="O339" s="29" t="s">
        <v>1286</v>
      </c>
      <c r="P339" s="29" t="s">
        <v>21</v>
      </c>
    </row>
    <row r="340" spans="1:16">
      <c r="A340" s="29">
        <f t="shared" si="5"/>
        <v>339</v>
      </c>
      <c r="B340" s="75">
        <v>46093</v>
      </c>
      <c r="C340" s="63" t="s">
        <v>1123</v>
      </c>
      <c r="D340" s="63" t="s">
        <v>39</v>
      </c>
      <c r="E340" s="101">
        <v>0.625</v>
      </c>
      <c r="F340" s="64" t="str">
        <f>VLOOKUP(G340,'Vehicle List'!A:C,3,0)</f>
        <v>Kongunadu Roadlines</v>
      </c>
      <c r="G340" s="29" t="s">
        <v>74</v>
      </c>
      <c r="H340" s="29" t="s">
        <v>740</v>
      </c>
      <c r="I340" s="29" t="s">
        <v>741</v>
      </c>
      <c r="J340" s="64" t="str">
        <f>VLOOKUP(G340,'Vehicle List'!A:D,4,0)</f>
        <v>Ennore</v>
      </c>
      <c r="K340" s="64" t="s">
        <v>29</v>
      </c>
      <c r="L340" s="64" t="s">
        <v>19</v>
      </c>
      <c r="M340" s="64" t="s">
        <v>19</v>
      </c>
      <c r="N340" s="101">
        <v>0.62847222222222221</v>
      </c>
      <c r="O340" s="29" t="s">
        <v>1697</v>
      </c>
      <c r="P340" s="29" t="s">
        <v>30</v>
      </c>
    </row>
    <row r="341" spans="1:16">
      <c r="A341" s="29">
        <f t="shared" si="5"/>
        <v>340</v>
      </c>
      <c r="B341" s="75">
        <v>46093</v>
      </c>
      <c r="C341" s="63" t="s">
        <v>1123</v>
      </c>
      <c r="D341" s="63" t="s">
        <v>39</v>
      </c>
      <c r="E341" s="101">
        <v>0.625</v>
      </c>
      <c r="F341" s="64" t="str">
        <f>VLOOKUP(G341,'Vehicle List'!A:C,3,0)</f>
        <v>Kongunadu Roadlines</v>
      </c>
      <c r="G341" s="29" t="s">
        <v>622</v>
      </c>
      <c r="H341" s="29" t="s">
        <v>1279</v>
      </c>
      <c r="I341" s="29" t="s">
        <v>1280</v>
      </c>
      <c r="J341" s="64" t="str">
        <f>VLOOKUP(G341,'Vehicle List'!A:D,4,0)</f>
        <v>Hazira</v>
      </c>
      <c r="K341" s="64" t="s">
        <v>29</v>
      </c>
      <c r="L341" s="64" t="s">
        <v>19</v>
      </c>
      <c r="M341" s="64" t="s">
        <v>19</v>
      </c>
      <c r="N341" s="101">
        <v>0.63124999999999998</v>
      </c>
      <c r="O341" s="29" t="s">
        <v>1260</v>
      </c>
      <c r="P341" s="29" t="s">
        <v>30</v>
      </c>
    </row>
    <row r="342" spans="1:16">
      <c r="A342" s="29">
        <f t="shared" si="5"/>
        <v>341</v>
      </c>
      <c r="B342" s="75">
        <v>46093</v>
      </c>
      <c r="C342" s="63" t="s">
        <v>1123</v>
      </c>
      <c r="D342" s="63" t="s">
        <v>39</v>
      </c>
      <c r="E342" s="101">
        <v>0.62708333333333333</v>
      </c>
      <c r="F342" s="64" t="str">
        <f>VLOOKUP(G342,'Vehicle List'!A:C,3,0)</f>
        <v>Chaudhary Transport</v>
      </c>
      <c r="G342" s="29" t="s">
        <v>1099</v>
      </c>
      <c r="H342" s="29" t="s">
        <v>1554</v>
      </c>
      <c r="I342" s="29" t="s">
        <v>1555</v>
      </c>
      <c r="J342" s="64" t="str">
        <f>VLOOKUP(G342,'Vehicle List'!A:D,4,0)</f>
        <v>KNCP</v>
      </c>
      <c r="K342" s="64" t="s">
        <v>29</v>
      </c>
      <c r="L342" s="64" t="s">
        <v>19</v>
      </c>
      <c r="M342" s="64" t="s">
        <v>19</v>
      </c>
      <c r="N342" s="101">
        <v>0.63541666666666663</v>
      </c>
      <c r="O342" s="29" t="s">
        <v>1182</v>
      </c>
      <c r="P342" s="29" t="s">
        <v>30</v>
      </c>
    </row>
    <row r="343" spans="1:16">
      <c r="A343" s="29">
        <f t="shared" si="5"/>
        <v>342</v>
      </c>
      <c r="B343" s="75">
        <v>46093</v>
      </c>
      <c r="C343" s="63" t="s">
        <v>1123</v>
      </c>
      <c r="D343" s="63" t="s">
        <v>39</v>
      </c>
      <c r="E343" s="101">
        <v>0.70486111111111116</v>
      </c>
      <c r="F343" s="64" t="str">
        <f>VLOOKUP(G343,'Vehicle List'!A:C,3,0)</f>
        <v>Expo Trans India Limited</v>
      </c>
      <c r="G343" s="29" t="s">
        <v>523</v>
      </c>
      <c r="H343" s="29" t="s">
        <v>1338</v>
      </c>
      <c r="I343" s="29" t="s">
        <v>1337</v>
      </c>
      <c r="J343" s="64" t="str">
        <f>VLOOKUP(G343,'Vehicle List'!A:D,4,0)</f>
        <v>Jalandhar</v>
      </c>
      <c r="K343" s="64" t="s">
        <v>29</v>
      </c>
      <c r="L343" s="64" t="s">
        <v>19</v>
      </c>
      <c r="M343" s="64" t="s">
        <v>19</v>
      </c>
      <c r="N343" s="101">
        <v>0.71111111111111114</v>
      </c>
      <c r="O343" s="29" t="s">
        <v>1698</v>
      </c>
      <c r="P343" s="29" t="s">
        <v>30</v>
      </c>
    </row>
    <row r="344" spans="1:16">
      <c r="A344" s="29">
        <f t="shared" si="5"/>
        <v>343</v>
      </c>
      <c r="B344" s="75">
        <v>46093</v>
      </c>
      <c r="C344" s="63" t="s">
        <v>1123</v>
      </c>
      <c r="D344" s="63" t="s">
        <v>39</v>
      </c>
      <c r="E344" s="101">
        <v>0.75</v>
      </c>
      <c r="F344" s="64" t="str">
        <f>VLOOKUP(G344,'Vehicle List'!A:C,3,0)</f>
        <v>Velan Gogreen Logistics Pvt Ltd</v>
      </c>
      <c r="G344" s="29" t="s">
        <v>34</v>
      </c>
      <c r="H344" s="29" t="s">
        <v>1336</v>
      </c>
      <c r="I344" s="29" t="s">
        <v>1335</v>
      </c>
      <c r="J344" s="64" t="str">
        <f>VLOOKUP(G344,'Vehicle List'!A:D,4,0)</f>
        <v>KNCP</v>
      </c>
      <c r="K344" s="64" t="s">
        <v>29</v>
      </c>
      <c r="L344" s="64" t="s">
        <v>19</v>
      </c>
      <c r="M344" s="64" t="s">
        <v>19</v>
      </c>
      <c r="N344" s="101">
        <v>0.75624999999999998</v>
      </c>
      <c r="O344" s="29" t="s">
        <v>1633</v>
      </c>
      <c r="P344" s="29" t="s">
        <v>30</v>
      </c>
    </row>
    <row r="345" spans="1:16">
      <c r="A345" s="29">
        <f t="shared" si="5"/>
        <v>344</v>
      </c>
      <c r="B345" s="75">
        <v>46093</v>
      </c>
      <c r="C345" s="63" t="s">
        <v>1123</v>
      </c>
      <c r="D345" s="63" t="s">
        <v>39</v>
      </c>
      <c r="E345" s="101">
        <v>0.77083333333333337</v>
      </c>
      <c r="F345" s="64" t="str">
        <f>VLOOKUP(G345,'Vehicle List'!A:C,3,0)</f>
        <v>Rahul Roadlines</v>
      </c>
      <c r="G345" s="29" t="s">
        <v>1103</v>
      </c>
      <c r="H345" s="29" t="s">
        <v>1487</v>
      </c>
      <c r="I345" s="29" t="s">
        <v>1534</v>
      </c>
      <c r="J345" s="64" t="str">
        <f>VLOOKUP(G345,'Vehicle List'!A:D,4,0)</f>
        <v>Bhopal</v>
      </c>
      <c r="K345" s="64" t="s">
        <v>29</v>
      </c>
      <c r="L345" s="64" t="s">
        <v>19</v>
      </c>
      <c r="M345" s="64" t="s">
        <v>19</v>
      </c>
      <c r="N345" s="101">
        <v>0.77569444444444446</v>
      </c>
      <c r="O345" s="29" t="s">
        <v>1474</v>
      </c>
      <c r="P345" s="29" t="s">
        <v>30</v>
      </c>
    </row>
    <row r="346" spans="1:16">
      <c r="A346" s="29">
        <f t="shared" si="5"/>
        <v>345</v>
      </c>
      <c r="B346" s="75">
        <v>46093</v>
      </c>
      <c r="C346" s="63" t="s">
        <v>1123</v>
      </c>
      <c r="D346" s="63" t="s">
        <v>39</v>
      </c>
      <c r="E346" s="101">
        <v>0.8125</v>
      </c>
      <c r="F346" s="64" t="str">
        <f>VLOOKUP(G346,'Vehicle List'!A:C,3,0)</f>
        <v>Anisha Logistics</v>
      </c>
      <c r="G346" s="29" t="s">
        <v>486</v>
      </c>
      <c r="H346" s="29" t="s">
        <v>1626</v>
      </c>
      <c r="I346" s="29" t="s">
        <v>1627</v>
      </c>
      <c r="J346" s="64" t="str">
        <f>VLOOKUP(G346,'Vehicle List'!A:D,4,0)</f>
        <v>Bhopal</v>
      </c>
      <c r="K346" s="64" t="s">
        <v>29</v>
      </c>
      <c r="L346" s="64" t="s">
        <v>19</v>
      </c>
      <c r="M346" s="64" t="s">
        <v>19</v>
      </c>
      <c r="N346" s="101">
        <v>0.81458333333333333</v>
      </c>
      <c r="O346" s="29" t="s">
        <v>1182</v>
      </c>
      <c r="P346" s="29" t="s">
        <v>30</v>
      </c>
    </row>
    <row r="347" spans="1:16">
      <c r="A347" s="29">
        <f t="shared" si="5"/>
        <v>346</v>
      </c>
      <c r="B347" s="75">
        <v>46093</v>
      </c>
      <c r="C347" s="63" t="s">
        <v>1123</v>
      </c>
      <c r="D347" s="63" t="s">
        <v>39</v>
      </c>
      <c r="E347" s="101">
        <v>0.82638888888888884</v>
      </c>
      <c r="F347" s="64" t="str">
        <f>VLOOKUP(G347,'Vehicle List'!A:C,3,0)</f>
        <v>Expo Trans India Limited</v>
      </c>
      <c r="G347" s="29" t="s">
        <v>319</v>
      </c>
      <c r="H347" s="29" t="s">
        <v>1502</v>
      </c>
      <c r="I347" s="29" t="s">
        <v>1503</v>
      </c>
      <c r="J347" s="64" t="str">
        <f>VLOOKUP(G347,'Vehicle List'!A:D,4,0)</f>
        <v>Chittoor</v>
      </c>
      <c r="K347" s="64" t="s">
        <v>29</v>
      </c>
      <c r="L347" s="64" t="s">
        <v>19</v>
      </c>
      <c r="M347" s="64" t="s">
        <v>19</v>
      </c>
      <c r="N347" s="101">
        <v>0.82847222222222228</v>
      </c>
      <c r="O347" s="29" t="s">
        <v>1284</v>
      </c>
      <c r="P347" s="29" t="s">
        <v>30</v>
      </c>
    </row>
    <row r="348" spans="1:16">
      <c r="A348" s="29">
        <f t="shared" si="5"/>
        <v>347</v>
      </c>
      <c r="B348" s="75">
        <v>46093</v>
      </c>
      <c r="C348" s="63" t="s">
        <v>1123</v>
      </c>
      <c r="D348" s="63" t="s">
        <v>39</v>
      </c>
      <c r="E348" s="101">
        <v>0.82499999999999996</v>
      </c>
      <c r="F348" s="64" t="str">
        <f>VLOOKUP(G348,'Vehicle List'!A:C,3,0)</f>
        <v>Kongunadu Roadlines</v>
      </c>
      <c r="G348" s="29" t="s">
        <v>31</v>
      </c>
      <c r="H348" s="29" t="s">
        <v>1694</v>
      </c>
      <c r="I348" s="29" t="s">
        <v>1693</v>
      </c>
      <c r="J348" s="64" t="str">
        <f>VLOOKUP(G348,'Vehicle List'!A:D,4,0)</f>
        <v>Kochi</v>
      </c>
      <c r="K348" s="64" t="s">
        <v>26</v>
      </c>
      <c r="L348" s="64" t="s">
        <v>19</v>
      </c>
      <c r="M348" s="64" t="s">
        <v>20</v>
      </c>
      <c r="N348" s="101">
        <v>0.82986111111111116</v>
      </c>
      <c r="O348" s="29" t="s">
        <v>1244</v>
      </c>
      <c r="P348" s="29" t="s">
        <v>21</v>
      </c>
    </row>
    <row r="349" spans="1:16">
      <c r="A349" s="29">
        <f t="shared" si="5"/>
        <v>348</v>
      </c>
      <c r="B349" s="75">
        <v>46093</v>
      </c>
      <c r="C349" s="63" t="s">
        <v>1123</v>
      </c>
      <c r="D349" s="63" t="s">
        <v>39</v>
      </c>
      <c r="E349" s="101">
        <v>0.82430555555555551</v>
      </c>
      <c r="F349" s="64" t="str">
        <f>VLOOKUP(G349,'Vehicle List'!A:C,3,0)</f>
        <v>Chaudhary Transport</v>
      </c>
      <c r="G349" s="29" t="s">
        <v>541</v>
      </c>
      <c r="H349" s="29" t="s">
        <v>1695</v>
      </c>
      <c r="I349" s="29" t="s">
        <v>1696</v>
      </c>
      <c r="J349" s="64" t="str">
        <f>VLOOKUP(G349,'Vehicle List'!A:D,4,0)</f>
        <v>KNCP</v>
      </c>
      <c r="K349" s="64" t="s">
        <v>26</v>
      </c>
      <c r="L349" s="64" t="s">
        <v>19</v>
      </c>
      <c r="M349" s="64" t="s">
        <v>20</v>
      </c>
      <c r="N349" s="101">
        <v>0.84097222222222223</v>
      </c>
      <c r="O349" s="29" t="s">
        <v>1286</v>
      </c>
      <c r="P349" s="29" t="s">
        <v>21</v>
      </c>
    </row>
    <row r="350" spans="1:16">
      <c r="A350" s="29">
        <f t="shared" si="5"/>
        <v>349</v>
      </c>
      <c r="B350" s="75">
        <v>46093</v>
      </c>
      <c r="C350" s="63" t="s">
        <v>1123</v>
      </c>
      <c r="D350" s="63" t="s">
        <v>39</v>
      </c>
      <c r="E350" s="101">
        <v>0.82152777777777775</v>
      </c>
      <c r="F350" s="64" t="str">
        <f>VLOOKUP(G350,'Vehicle List'!A:C,3,0)</f>
        <v>Sritransways Logistics</v>
      </c>
      <c r="G350" s="29" t="s">
        <v>391</v>
      </c>
      <c r="H350" s="29" t="s">
        <v>1691</v>
      </c>
      <c r="I350" s="29" t="s">
        <v>1692</v>
      </c>
      <c r="J350" s="64" t="str">
        <f>VLOOKUP(G350,'Vehicle List'!A:D,4,0)</f>
        <v>AKT</v>
      </c>
      <c r="K350" s="64" t="s">
        <v>26</v>
      </c>
      <c r="L350" s="64" t="s">
        <v>19</v>
      </c>
      <c r="M350" s="64" t="s">
        <v>20</v>
      </c>
      <c r="N350" s="101">
        <v>0.84444444444444444</v>
      </c>
      <c r="O350" s="29" t="s">
        <v>1227</v>
      </c>
      <c r="P350" s="29" t="s">
        <v>21</v>
      </c>
    </row>
    <row r="351" spans="1:16">
      <c r="A351" s="29">
        <f t="shared" si="5"/>
        <v>350</v>
      </c>
      <c r="B351" s="75">
        <v>46093</v>
      </c>
      <c r="C351" s="63" t="s">
        <v>27</v>
      </c>
      <c r="D351" s="63" t="s">
        <v>16</v>
      </c>
      <c r="E351" s="101">
        <v>0.94513888888888886</v>
      </c>
      <c r="F351" s="64" t="str">
        <f>VLOOKUP(G351,'Vehicle List'!A:C,3,0)</f>
        <v>Rahul Roadlines</v>
      </c>
      <c r="G351" s="29" t="s">
        <v>95</v>
      </c>
      <c r="H351" s="29" t="s">
        <v>1702</v>
      </c>
      <c r="I351" s="29" t="s">
        <v>1701</v>
      </c>
      <c r="J351" s="64" t="str">
        <f>VLOOKUP(G351,'Vehicle List'!A:D,4,0)</f>
        <v>BJJ</v>
      </c>
      <c r="K351" s="64" t="s">
        <v>29</v>
      </c>
      <c r="L351" s="64" t="s">
        <v>19</v>
      </c>
      <c r="M351" s="64" t="s">
        <v>19</v>
      </c>
      <c r="N351" s="101">
        <v>0.94513888888888886</v>
      </c>
      <c r="O351" s="29" t="s">
        <v>1645</v>
      </c>
      <c r="P351" s="29" t="s">
        <v>30</v>
      </c>
    </row>
    <row r="352" spans="1:16">
      <c r="A352" s="29">
        <f t="shared" si="5"/>
        <v>351</v>
      </c>
      <c r="B352" s="75">
        <v>46093</v>
      </c>
      <c r="C352" s="63" t="s">
        <v>27</v>
      </c>
      <c r="D352" s="63" t="s">
        <v>16</v>
      </c>
      <c r="E352" s="101">
        <v>0.9819444444444444</v>
      </c>
      <c r="F352" s="64" t="str">
        <f>VLOOKUP(G352,'Vehicle List'!A:C,3,0)</f>
        <v>Kongunadu Roadlines</v>
      </c>
      <c r="G352" s="29" t="s">
        <v>31</v>
      </c>
      <c r="H352" s="29" t="s">
        <v>1217</v>
      </c>
      <c r="I352" s="29" t="s">
        <v>1216</v>
      </c>
      <c r="J352" s="64" t="str">
        <f>VLOOKUP(G352,'Vehicle List'!A:D,4,0)</f>
        <v>Kochi</v>
      </c>
      <c r="K352" s="64" t="s">
        <v>29</v>
      </c>
      <c r="L352" s="64" t="s">
        <v>19</v>
      </c>
      <c r="M352" s="64" t="s">
        <v>19</v>
      </c>
      <c r="N352" s="101">
        <v>0.9819444444444444</v>
      </c>
      <c r="O352" s="29" t="s">
        <v>1224</v>
      </c>
      <c r="P352" s="29" t="s">
        <v>30</v>
      </c>
    </row>
    <row r="353" spans="1:16">
      <c r="A353" s="29">
        <f t="shared" si="5"/>
        <v>352</v>
      </c>
      <c r="B353" s="75">
        <v>46094</v>
      </c>
      <c r="C353" s="63" t="s">
        <v>27</v>
      </c>
      <c r="D353" s="63" t="s">
        <v>16</v>
      </c>
      <c r="E353" s="101">
        <v>4.2361111111111113E-2</v>
      </c>
      <c r="F353" s="64" t="str">
        <f>VLOOKUP(G353,'Vehicle List'!A:C,3,0)</f>
        <v>Kongunadu Roadlines</v>
      </c>
      <c r="G353" s="29" t="s">
        <v>98</v>
      </c>
      <c r="H353" s="29" t="s">
        <v>1704</v>
      </c>
      <c r="I353" s="29" t="s">
        <v>1703</v>
      </c>
      <c r="J353" s="64" t="str">
        <f>VLOOKUP(G353,'Vehicle List'!A:D,4,0)</f>
        <v>Ennore</v>
      </c>
      <c r="K353" s="64" t="s">
        <v>29</v>
      </c>
      <c r="L353" s="64" t="s">
        <v>19</v>
      </c>
      <c r="M353" s="64" t="s">
        <v>19</v>
      </c>
      <c r="N353" s="101">
        <v>4.2361111111111113E-2</v>
      </c>
      <c r="O353" s="29" t="s">
        <v>1260</v>
      </c>
      <c r="P353" s="29" t="s">
        <v>21</v>
      </c>
    </row>
    <row r="354" spans="1:16">
      <c r="A354" s="29">
        <f t="shared" si="5"/>
        <v>353</v>
      </c>
      <c r="B354" s="75">
        <v>46094</v>
      </c>
      <c r="C354" s="63" t="s">
        <v>27</v>
      </c>
      <c r="D354" s="63" t="s">
        <v>16</v>
      </c>
      <c r="E354" s="101">
        <v>0.17430555555555555</v>
      </c>
      <c r="F354" s="64" t="str">
        <f>VLOOKUP(G354,'Vehicle List'!A:C,3,0)</f>
        <v>Kongunadu Roadlines</v>
      </c>
      <c r="G354" s="29" t="s">
        <v>99</v>
      </c>
      <c r="H354" s="29" t="s">
        <v>1200</v>
      </c>
      <c r="I354" s="29" t="s">
        <v>1199</v>
      </c>
      <c r="J354" s="64" t="str">
        <f>VLOOKUP(G354,'Vehicle List'!A:D,4,0)</f>
        <v>Ennore</v>
      </c>
      <c r="K354" s="64" t="s">
        <v>29</v>
      </c>
      <c r="L354" s="64" t="s">
        <v>19</v>
      </c>
      <c r="M354" s="64" t="s">
        <v>19</v>
      </c>
      <c r="N354" s="101">
        <v>0.17430555555555555</v>
      </c>
      <c r="O354" s="29" t="s">
        <v>1700</v>
      </c>
      <c r="P354" s="29" t="s">
        <v>30</v>
      </c>
    </row>
    <row r="355" spans="1:16">
      <c r="A355" s="29">
        <f t="shared" si="5"/>
        <v>354</v>
      </c>
      <c r="B355" s="75">
        <v>46094</v>
      </c>
      <c r="C355" s="63" t="s">
        <v>1123</v>
      </c>
      <c r="D355" s="63" t="s">
        <v>28</v>
      </c>
      <c r="E355" s="101">
        <v>0.2673611111111111</v>
      </c>
      <c r="F355" s="64" t="str">
        <f>VLOOKUP(G355,'Vehicle List'!A:C,3,0)</f>
        <v>Kongunadu Roadlines</v>
      </c>
      <c r="G355" s="29" t="s">
        <v>99</v>
      </c>
      <c r="H355" s="29" t="s">
        <v>1200</v>
      </c>
      <c r="I355" s="29" t="s">
        <v>1199</v>
      </c>
      <c r="J355" s="64" t="str">
        <f>VLOOKUP(G355,'Vehicle List'!A:D,4,0)</f>
        <v>Ennore</v>
      </c>
      <c r="K355" s="64" t="s">
        <v>29</v>
      </c>
      <c r="L355" s="64" t="s">
        <v>19</v>
      </c>
      <c r="M355" s="64" t="s">
        <v>19</v>
      </c>
      <c r="N355" s="101">
        <v>0.27152777777777776</v>
      </c>
      <c r="O355" s="29" t="s">
        <v>1700</v>
      </c>
      <c r="P355" s="29" t="s">
        <v>30</v>
      </c>
    </row>
    <row r="356" spans="1:16">
      <c r="A356" s="29">
        <f t="shared" si="5"/>
        <v>355</v>
      </c>
      <c r="B356" s="75">
        <v>46094</v>
      </c>
      <c r="C356" s="63" t="s">
        <v>1123</v>
      </c>
      <c r="D356" s="63" t="s">
        <v>28</v>
      </c>
      <c r="E356" s="101">
        <v>0.2673611111111111</v>
      </c>
      <c r="F356" s="64" t="str">
        <f>VLOOKUP(G356,'Vehicle List'!A:C,3,0)</f>
        <v>Rahul Roadlines</v>
      </c>
      <c r="G356" s="29" t="s">
        <v>608</v>
      </c>
      <c r="H356" s="29" t="s">
        <v>1043</v>
      </c>
      <c r="I356" s="29" t="s">
        <v>1044</v>
      </c>
      <c r="J356" s="64" t="str">
        <f>VLOOKUP(G356,'Vehicle List'!A:D,4,0)</f>
        <v>Ennore</v>
      </c>
      <c r="K356" s="64" t="s">
        <v>29</v>
      </c>
      <c r="L356" s="64" t="s">
        <v>19</v>
      </c>
      <c r="M356" s="64" t="s">
        <v>19</v>
      </c>
      <c r="N356" s="101">
        <v>0.2722222222222222</v>
      </c>
      <c r="O356" s="29" t="s">
        <v>1245</v>
      </c>
      <c r="P356" s="29" t="s">
        <v>30</v>
      </c>
    </row>
    <row r="357" spans="1:16">
      <c r="A357" s="29">
        <f t="shared" si="5"/>
        <v>356</v>
      </c>
      <c r="B357" s="75">
        <v>46094</v>
      </c>
      <c r="C357" s="63" t="s">
        <v>1123</v>
      </c>
      <c r="D357" s="63" t="s">
        <v>28</v>
      </c>
      <c r="E357" s="101">
        <v>0.27013888888888887</v>
      </c>
      <c r="F357" s="64" t="str">
        <f>VLOOKUP(G357,'Vehicle List'!A:C,3,0)</f>
        <v>Kongunadu Roadlines</v>
      </c>
      <c r="G357" s="29" t="s">
        <v>461</v>
      </c>
      <c r="H357" s="29" t="s">
        <v>1708</v>
      </c>
      <c r="I357" s="29" t="s">
        <v>1707</v>
      </c>
      <c r="J357" s="64" t="str">
        <f>VLOOKUP(G357,'Vehicle List'!A:D,4,0)</f>
        <v>CHK</v>
      </c>
      <c r="K357" s="64" t="s">
        <v>29</v>
      </c>
      <c r="L357" s="64" t="s">
        <v>19</v>
      </c>
      <c r="M357" s="64" t="s">
        <v>19</v>
      </c>
      <c r="N357" s="101">
        <v>0.27638888888888891</v>
      </c>
      <c r="O357" s="29" t="s">
        <v>1633</v>
      </c>
      <c r="P357" s="29" t="s">
        <v>30</v>
      </c>
    </row>
    <row r="358" spans="1:16">
      <c r="A358" s="29">
        <f t="shared" si="5"/>
        <v>357</v>
      </c>
      <c r="B358" s="75">
        <v>46094</v>
      </c>
      <c r="C358" s="63" t="s">
        <v>1123</v>
      </c>
      <c r="D358" s="63" t="s">
        <v>28</v>
      </c>
      <c r="E358" s="101">
        <v>0.30555555555555558</v>
      </c>
      <c r="F358" s="64" t="str">
        <f>VLOOKUP(G358,'Vehicle List'!A:C,3,0)</f>
        <v>Anisha Logistics</v>
      </c>
      <c r="G358" s="29" t="s">
        <v>486</v>
      </c>
      <c r="H358" s="29" t="s">
        <v>1626</v>
      </c>
      <c r="I358" s="29" t="s">
        <v>1627</v>
      </c>
      <c r="J358" s="64" t="str">
        <f>VLOOKUP(G358,'Vehicle List'!A:D,4,0)</f>
        <v>Bhopal</v>
      </c>
      <c r="K358" s="64" t="s">
        <v>29</v>
      </c>
      <c r="L358" s="64" t="s">
        <v>19</v>
      </c>
      <c r="M358" s="64" t="s">
        <v>19</v>
      </c>
      <c r="N358" s="101">
        <v>0.30902777777777779</v>
      </c>
      <c r="O358" s="29" t="s">
        <v>1182</v>
      </c>
      <c r="P358" s="29" t="s">
        <v>30</v>
      </c>
    </row>
    <row r="359" spans="1:16">
      <c r="A359" s="29">
        <f t="shared" si="5"/>
        <v>358</v>
      </c>
      <c r="B359" s="75">
        <v>46094</v>
      </c>
      <c r="C359" s="63" t="s">
        <v>1123</v>
      </c>
      <c r="D359" s="63" t="s">
        <v>28</v>
      </c>
      <c r="E359" s="101">
        <v>0.30555555555555558</v>
      </c>
      <c r="F359" s="64" t="str">
        <f>VLOOKUP(G359,'Vehicle List'!A:C,3,0)</f>
        <v>Anisha Logistics</v>
      </c>
      <c r="G359" s="29" t="s">
        <v>486</v>
      </c>
      <c r="H359" s="29" t="s">
        <v>1626</v>
      </c>
      <c r="I359" s="29" t="s">
        <v>1627</v>
      </c>
      <c r="J359" s="64" t="str">
        <f>VLOOKUP(G359,'Vehicle List'!A:D,4,0)</f>
        <v>Bhopal</v>
      </c>
      <c r="K359" s="64" t="s">
        <v>29</v>
      </c>
      <c r="L359" s="64" t="s">
        <v>19</v>
      </c>
      <c r="M359" s="64" t="s">
        <v>19</v>
      </c>
      <c r="N359" s="101">
        <v>0.30902777777777779</v>
      </c>
      <c r="O359" s="29" t="s">
        <v>1720</v>
      </c>
      <c r="P359" s="29" t="s">
        <v>30</v>
      </c>
    </row>
    <row r="360" spans="1:16">
      <c r="A360" s="29">
        <f t="shared" si="5"/>
        <v>359</v>
      </c>
      <c r="B360" s="75">
        <v>46094</v>
      </c>
      <c r="C360" s="63" t="s">
        <v>1123</v>
      </c>
      <c r="D360" s="63" t="s">
        <v>28</v>
      </c>
      <c r="E360" s="101">
        <v>0.30555555555555558</v>
      </c>
      <c r="F360" s="64" t="str">
        <f>VLOOKUP(G360,'Vehicle List'!A:C,3,0)</f>
        <v>Oraya Gas India Pvt.Ltd.</v>
      </c>
      <c r="G360" s="29" t="s">
        <v>94</v>
      </c>
      <c r="H360" s="29" t="s">
        <v>1374</v>
      </c>
      <c r="I360" s="29" t="s">
        <v>1373</v>
      </c>
      <c r="J360" s="64" t="str">
        <f>VLOOKUP(G360,'Vehicle List'!A:D,4,0)</f>
        <v>Ennore</v>
      </c>
      <c r="K360" s="64" t="s">
        <v>29</v>
      </c>
      <c r="L360" s="64" t="s">
        <v>19</v>
      </c>
      <c r="M360" s="64" t="s">
        <v>19</v>
      </c>
      <c r="N360" s="101">
        <v>0.31180555555555556</v>
      </c>
      <c r="O360" s="29" t="s">
        <v>1721</v>
      </c>
      <c r="P360" s="29" t="s">
        <v>30</v>
      </c>
    </row>
    <row r="361" spans="1:16">
      <c r="A361" s="29">
        <f t="shared" si="5"/>
        <v>360</v>
      </c>
      <c r="B361" s="75">
        <v>46094</v>
      </c>
      <c r="C361" s="63" t="s">
        <v>1123</v>
      </c>
      <c r="D361" s="63" t="s">
        <v>28</v>
      </c>
      <c r="E361" s="101">
        <v>0.3125</v>
      </c>
      <c r="F361" s="64" t="str">
        <f>VLOOKUP(G361,'Vehicle List'!A:C,3,0)</f>
        <v>Anisha Logistics</v>
      </c>
      <c r="G361" s="29" t="s">
        <v>481</v>
      </c>
      <c r="H361" s="29" t="s">
        <v>1420</v>
      </c>
      <c r="I361" s="29" t="s">
        <v>1421</v>
      </c>
      <c r="J361" s="64" t="str">
        <f>VLOOKUP(G361,'Vehicle List'!A:D,4,0)</f>
        <v>Bhopal</v>
      </c>
      <c r="K361" s="64" t="s">
        <v>29</v>
      </c>
      <c r="L361" s="64" t="s">
        <v>19</v>
      </c>
      <c r="M361" s="64" t="s">
        <v>19</v>
      </c>
      <c r="N361" s="101">
        <v>0.31458333333333333</v>
      </c>
      <c r="O361" s="29" t="s">
        <v>1284</v>
      </c>
      <c r="P361" s="29" t="s">
        <v>30</v>
      </c>
    </row>
    <row r="362" spans="1:16">
      <c r="A362" s="29">
        <f t="shared" si="5"/>
        <v>361</v>
      </c>
      <c r="B362" s="75">
        <v>46094</v>
      </c>
      <c r="C362" s="63" t="s">
        <v>1123</v>
      </c>
      <c r="D362" s="63" t="s">
        <v>28</v>
      </c>
      <c r="E362" s="101">
        <v>0.30625000000000002</v>
      </c>
      <c r="F362" s="64" t="str">
        <f>VLOOKUP(G362,'Vehicle List'!A:C,3,0)</f>
        <v>Oraya Gas India Pvt.Ltd.</v>
      </c>
      <c r="G362" s="29" t="s">
        <v>1706</v>
      </c>
      <c r="H362" s="29" t="s">
        <v>1709</v>
      </c>
      <c r="I362" s="29" t="s">
        <v>1710</v>
      </c>
      <c r="J362" s="64" t="str">
        <f>VLOOKUP(G362,'Vehicle List'!A:D,4,0)</f>
        <v>Ennore</v>
      </c>
      <c r="K362" s="64" t="s">
        <v>26</v>
      </c>
      <c r="L362" s="64" t="s">
        <v>19</v>
      </c>
      <c r="M362" s="64" t="s">
        <v>20</v>
      </c>
      <c r="N362" s="101">
        <v>0.31527777777777777</v>
      </c>
      <c r="O362" s="29" t="s">
        <v>1085</v>
      </c>
      <c r="P362" s="29" t="s">
        <v>21</v>
      </c>
    </row>
    <row r="363" spans="1:16">
      <c r="A363" s="29">
        <f t="shared" si="5"/>
        <v>362</v>
      </c>
      <c r="B363" s="75">
        <v>46094</v>
      </c>
      <c r="C363" s="63" t="s">
        <v>1123</v>
      </c>
      <c r="D363" s="63" t="s">
        <v>28</v>
      </c>
      <c r="E363" s="101">
        <v>0.3125</v>
      </c>
      <c r="F363" s="64" t="str">
        <f>VLOOKUP(G363,'Vehicle List'!A:C,3,0)</f>
        <v>Kongunadu Roadlines</v>
      </c>
      <c r="G363" s="29" t="s">
        <v>393</v>
      </c>
      <c r="H363" s="29" t="s">
        <v>1712</v>
      </c>
      <c r="I363" s="29" t="s">
        <v>1711</v>
      </c>
      <c r="J363" s="64" t="str">
        <f>VLOOKUP(G363,'Vehicle List'!A:D,4,0)</f>
        <v>CHK</v>
      </c>
      <c r="K363" s="64" t="s">
        <v>29</v>
      </c>
      <c r="L363" s="64" t="s">
        <v>19</v>
      </c>
      <c r="M363" s="64" t="s">
        <v>19</v>
      </c>
      <c r="N363" s="101">
        <v>0.31805555555555554</v>
      </c>
      <c r="O363" s="29" t="s">
        <v>1284</v>
      </c>
      <c r="P363" s="29" t="s">
        <v>30</v>
      </c>
    </row>
    <row r="364" spans="1:16">
      <c r="A364" s="29">
        <f t="shared" si="5"/>
        <v>363</v>
      </c>
      <c r="B364" s="75">
        <v>46094</v>
      </c>
      <c r="C364" s="63" t="s">
        <v>1123</v>
      </c>
      <c r="D364" s="63" t="s">
        <v>28</v>
      </c>
      <c r="E364" s="101">
        <v>0.37152777777777779</v>
      </c>
      <c r="F364" s="64" t="str">
        <f>VLOOKUP(G364,'Vehicle List'!A:C,3,0)</f>
        <v>Anisha Logistics</v>
      </c>
      <c r="G364" s="29" t="s">
        <v>487</v>
      </c>
      <c r="H364" s="29" t="s">
        <v>1724</v>
      </c>
      <c r="I364" s="29" t="s">
        <v>1723</v>
      </c>
      <c r="J364" s="64" t="str">
        <f>VLOOKUP(G364,'Vehicle List'!A:D,4,0)</f>
        <v>Bhopal</v>
      </c>
      <c r="K364" s="64" t="s">
        <v>29</v>
      </c>
      <c r="L364" s="64" t="s">
        <v>19</v>
      </c>
      <c r="M364" s="64" t="s">
        <v>19</v>
      </c>
      <c r="N364" s="101">
        <v>0.38124999999999998</v>
      </c>
      <c r="O364" s="29" t="s">
        <v>1284</v>
      </c>
      <c r="P364" s="29" t="s">
        <v>30</v>
      </c>
    </row>
    <row r="365" spans="1:16">
      <c r="A365" s="29">
        <f t="shared" si="5"/>
        <v>364</v>
      </c>
      <c r="B365" s="75">
        <v>46094</v>
      </c>
      <c r="C365" s="63" t="s">
        <v>1123</v>
      </c>
      <c r="D365" s="63" t="s">
        <v>28</v>
      </c>
      <c r="E365" s="101">
        <v>0.40972222222222221</v>
      </c>
      <c r="F365" s="64" t="str">
        <f>VLOOKUP(G365,'Vehicle List'!A:C,3,0)</f>
        <v>Expo Trans India Limited</v>
      </c>
      <c r="G365" s="29" t="s">
        <v>526</v>
      </c>
      <c r="H365" s="29" t="s">
        <v>1714</v>
      </c>
      <c r="I365" s="29" t="s">
        <v>1713</v>
      </c>
      <c r="J365" s="64" t="str">
        <f>VLOOKUP(G365,'Vehicle List'!A:D,4,0)</f>
        <v>Jalandhar</v>
      </c>
      <c r="K365" s="64" t="s">
        <v>29</v>
      </c>
      <c r="L365" s="64" t="s">
        <v>19</v>
      </c>
      <c r="M365" s="64" t="s">
        <v>19</v>
      </c>
      <c r="N365" s="101">
        <v>0.41319444444444442</v>
      </c>
      <c r="O365" s="29" t="s">
        <v>1284</v>
      </c>
      <c r="P365" s="29" t="s">
        <v>30</v>
      </c>
    </row>
    <row r="366" spans="1:16">
      <c r="A366" s="29">
        <f t="shared" si="5"/>
        <v>365</v>
      </c>
      <c r="B366" s="75">
        <v>46094</v>
      </c>
      <c r="C366" s="63" t="s">
        <v>1123</v>
      </c>
      <c r="D366" s="63" t="s">
        <v>28</v>
      </c>
      <c r="E366" s="101">
        <v>0.4236111111111111</v>
      </c>
      <c r="F366" s="64" t="str">
        <f>VLOOKUP(G366,'Vehicle List'!A:C,3,0)</f>
        <v>Kongunadu Roadlines</v>
      </c>
      <c r="G366" s="29" t="s">
        <v>593</v>
      </c>
      <c r="H366" s="29" t="s">
        <v>1716</v>
      </c>
      <c r="I366" s="29" t="s">
        <v>1715</v>
      </c>
      <c r="J366" s="64" t="str">
        <f>VLOOKUP(G366,'Vehicle List'!A:D,4,0)</f>
        <v>Kochi</v>
      </c>
      <c r="K366" s="64" t="s">
        <v>29</v>
      </c>
      <c r="L366" s="64" t="s">
        <v>19</v>
      </c>
      <c r="M366" s="64" t="s">
        <v>19</v>
      </c>
      <c r="N366" s="101">
        <v>0.43055555555555558</v>
      </c>
      <c r="O366" s="29" t="s">
        <v>1722</v>
      </c>
      <c r="P366" s="29" t="s">
        <v>30</v>
      </c>
    </row>
    <row r="367" spans="1:16">
      <c r="A367" s="29">
        <f t="shared" si="5"/>
        <v>366</v>
      </c>
      <c r="B367" s="75">
        <v>46094</v>
      </c>
      <c r="C367" s="63" t="s">
        <v>1123</v>
      </c>
      <c r="D367" s="63" t="s">
        <v>28</v>
      </c>
      <c r="E367" s="101">
        <v>0.4236111111111111</v>
      </c>
      <c r="F367" s="64" t="str">
        <f>VLOOKUP(G367,'Vehicle List'!A:C,3,0)</f>
        <v>Kongunadu Roadlines</v>
      </c>
      <c r="G367" s="29" t="s">
        <v>593</v>
      </c>
      <c r="H367" s="29" t="s">
        <v>1716</v>
      </c>
      <c r="I367" s="29" t="s">
        <v>1715</v>
      </c>
      <c r="J367" s="64" t="str">
        <f>VLOOKUP(G367,'Vehicle List'!A:D,4,0)</f>
        <v>Kochi</v>
      </c>
      <c r="K367" s="64" t="s">
        <v>29</v>
      </c>
      <c r="L367" s="64" t="s">
        <v>19</v>
      </c>
      <c r="M367" s="64" t="s">
        <v>19</v>
      </c>
      <c r="N367" s="101">
        <v>0.43055555555555558</v>
      </c>
      <c r="O367" s="29" t="s">
        <v>1474</v>
      </c>
      <c r="P367" s="29" t="s">
        <v>30</v>
      </c>
    </row>
    <row r="368" spans="1:16">
      <c r="A368" s="29">
        <f t="shared" si="5"/>
        <v>367</v>
      </c>
      <c r="B368" s="75">
        <v>46094</v>
      </c>
      <c r="C368" s="63" t="s">
        <v>1123</v>
      </c>
      <c r="D368" s="63" t="s">
        <v>28</v>
      </c>
      <c r="E368" s="101">
        <v>0.42777777777777776</v>
      </c>
      <c r="F368" s="64" t="str">
        <f>VLOOKUP(G368,'Vehicle List'!A:C,3,0)</f>
        <v>Anisha Logistics</v>
      </c>
      <c r="G368" s="29" t="s">
        <v>489</v>
      </c>
      <c r="H368" s="29" t="s">
        <v>1717</v>
      </c>
      <c r="I368" s="29" t="s">
        <v>1540</v>
      </c>
      <c r="J368" s="64" t="str">
        <f>VLOOKUP(G368,'Vehicle List'!A:D,4,0)</f>
        <v>Bhopal</v>
      </c>
      <c r="K368" s="64" t="s">
        <v>29</v>
      </c>
      <c r="L368" s="64" t="s">
        <v>19</v>
      </c>
      <c r="M368" s="64" t="s">
        <v>19</v>
      </c>
      <c r="N368" s="101">
        <v>0.43402777777777779</v>
      </c>
      <c r="O368" s="29" t="s">
        <v>1062</v>
      </c>
      <c r="P368" s="29" t="s">
        <v>30</v>
      </c>
    </row>
    <row r="369" spans="1:16">
      <c r="A369" s="29">
        <f t="shared" si="5"/>
        <v>368</v>
      </c>
      <c r="B369" s="75">
        <v>46094</v>
      </c>
      <c r="C369" s="63" t="s">
        <v>1123</v>
      </c>
      <c r="D369" s="63" t="s">
        <v>28</v>
      </c>
      <c r="E369" s="101">
        <v>0.4826388888888889</v>
      </c>
      <c r="F369" s="64" t="str">
        <f>VLOOKUP(G369,'Vehicle List'!A:C,3,0)</f>
        <v>Rahul Roadlines</v>
      </c>
      <c r="G369" s="29" t="s">
        <v>1095</v>
      </c>
      <c r="H369" s="29" t="s">
        <v>1287</v>
      </c>
      <c r="I369" s="29" t="s">
        <v>1288</v>
      </c>
      <c r="J369" s="64" t="str">
        <f>VLOOKUP(G369,'Vehicle List'!A:D,4,0)</f>
        <v>KNCP</v>
      </c>
      <c r="K369" s="64" t="s">
        <v>29</v>
      </c>
      <c r="L369" s="64" t="s">
        <v>19</v>
      </c>
      <c r="M369" s="64" t="s">
        <v>19</v>
      </c>
      <c r="N369" s="101">
        <v>0.49027777777777776</v>
      </c>
      <c r="O369" s="29" t="s">
        <v>1645</v>
      </c>
      <c r="P369" s="29" t="s">
        <v>30</v>
      </c>
    </row>
    <row r="370" spans="1:16">
      <c r="A370" s="29">
        <f t="shared" si="5"/>
        <v>369</v>
      </c>
      <c r="B370" s="75">
        <v>46094</v>
      </c>
      <c r="C370" s="63" t="s">
        <v>1123</v>
      </c>
      <c r="D370" s="63" t="s">
        <v>28</v>
      </c>
      <c r="E370" s="101">
        <v>0.4861111111111111</v>
      </c>
      <c r="F370" s="64" t="str">
        <f>VLOOKUP(G370,'Vehicle List'!A:C,3,0)</f>
        <v>Kongunadu Roadlines</v>
      </c>
      <c r="G370" s="29" t="s">
        <v>314</v>
      </c>
      <c r="H370" s="29" t="s">
        <v>1186</v>
      </c>
      <c r="I370" s="29" t="s">
        <v>1185</v>
      </c>
      <c r="J370" s="64" t="str">
        <f>VLOOKUP(G370,'Vehicle List'!A:D,4,0)</f>
        <v>KNCP</v>
      </c>
      <c r="K370" s="64" t="s">
        <v>29</v>
      </c>
      <c r="L370" s="64" t="s">
        <v>19</v>
      </c>
      <c r="M370" s="64" t="s">
        <v>19</v>
      </c>
      <c r="N370" s="101">
        <v>0.4909722222222222</v>
      </c>
      <c r="O370" s="29" t="s">
        <v>1182</v>
      </c>
      <c r="P370" s="29" t="s">
        <v>30</v>
      </c>
    </row>
    <row r="371" spans="1:16">
      <c r="A371" s="29">
        <f t="shared" si="5"/>
        <v>370</v>
      </c>
      <c r="B371" s="75">
        <v>46094</v>
      </c>
      <c r="C371" s="63" t="s">
        <v>1123</v>
      </c>
      <c r="D371" s="63" t="s">
        <v>28</v>
      </c>
      <c r="E371" s="101">
        <v>0.48472222222222222</v>
      </c>
      <c r="F371" s="64" t="str">
        <f>VLOOKUP(G371,'Vehicle List'!A:C,3,0)</f>
        <v>Oraya Gas India Pvt.Ltd.</v>
      </c>
      <c r="G371" s="29" t="s">
        <v>1129</v>
      </c>
      <c r="H371" s="29" t="s">
        <v>1719</v>
      </c>
      <c r="I371" s="29" t="s">
        <v>1718</v>
      </c>
      <c r="J371" s="64" t="str">
        <f>VLOOKUP(G371,'Vehicle List'!A:D,4,0)</f>
        <v>Dahej</v>
      </c>
      <c r="K371" s="64" t="s">
        <v>18</v>
      </c>
      <c r="L371" s="64" t="s">
        <v>19</v>
      </c>
      <c r="M371" s="64" t="s">
        <v>20</v>
      </c>
      <c r="N371" s="101">
        <v>0.49444444444444446</v>
      </c>
      <c r="O371" s="29" t="s">
        <v>1124</v>
      </c>
      <c r="P371" s="29" t="s">
        <v>21</v>
      </c>
    </row>
    <row r="372" spans="1:16">
      <c r="A372" s="29">
        <f t="shared" si="5"/>
        <v>371</v>
      </c>
      <c r="B372" s="75">
        <v>46094</v>
      </c>
      <c r="C372" s="63" t="s">
        <v>1123</v>
      </c>
      <c r="D372" s="63" t="s">
        <v>28</v>
      </c>
      <c r="E372" s="101">
        <v>0.50347222222222221</v>
      </c>
      <c r="F372" s="64" t="str">
        <f>VLOOKUP(G372,'Vehicle List'!A:C,3,0)</f>
        <v>Chaudhary Transport</v>
      </c>
      <c r="G372" s="29" t="s">
        <v>572</v>
      </c>
      <c r="H372" s="29" t="s">
        <v>1343</v>
      </c>
      <c r="I372" s="29" t="s">
        <v>1344</v>
      </c>
      <c r="J372" s="64" t="str">
        <f>VLOOKUP(G372,'Vehicle List'!A:D,4,0)</f>
        <v>KNCP</v>
      </c>
      <c r="K372" s="64" t="s">
        <v>26</v>
      </c>
      <c r="L372" s="64" t="s">
        <v>19</v>
      </c>
      <c r="M372" s="64" t="s">
        <v>20</v>
      </c>
      <c r="N372" s="101">
        <v>0.55277777777777781</v>
      </c>
      <c r="O372" s="29" t="s">
        <v>1286</v>
      </c>
      <c r="P372" s="29" t="s">
        <v>21</v>
      </c>
    </row>
    <row r="373" spans="1:16">
      <c r="A373" s="29">
        <f t="shared" si="5"/>
        <v>372</v>
      </c>
      <c r="B373" s="75">
        <v>46094</v>
      </c>
      <c r="C373" s="63" t="s">
        <v>27</v>
      </c>
      <c r="D373" s="63" t="s">
        <v>39</v>
      </c>
      <c r="E373" s="101">
        <v>0.62083333333333335</v>
      </c>
      <c r="F373" s="64" t="str">
        <f>VLOOKUP(G373,'Vehicle List'!A:C,3,0)</f>
        <v>Rahul Roadlines</v>
      </c>
      <c r="G373" s="29" t="s">
        <v>608</v>
      </c>
      <c r="H373" s="29" t="s">
        <v>1043</v>
      </c>
      <c r="I373" s="29" t="s">
        <v>1044</v>
      </c>
      <c r="J373" s="64" t="str">
        <f>VLOOKUP(G373,'Vehicle List'!A:D,4,0)</f>
        <v>Ennore</v>
      </c>
      <c r="K373" s="64" t="s">
        <v>29</v>
      </c>
      <c r="L373" s="64" t="s">
        <v>19</v>
      </c>
      <c r="M373" s="64" t="s">
        <v>19</v>
      </c>
      <c r="N373" s="101">
        <v>0.62083333333333335</v>
      </c>
      <c r="O373" s="29" t="s">
        <v>1245</v>
      </c>
      <c r="P373" s="29" t="s">
        <v>30</v>
      </c>
    </row>
    <row r="374" spans="1:16">
      <c r="A374" s="29">
        <f t="shared" si="5"/>
        <v>373</v>
      </c>
      <c r="B374" s="75">
        <v>46094</v>
      </c>
      <c r="C374" s="63" t="s">
        <v>27</v>
      </c>
      <c r="D374" s="63" t="s">
        <v>39</v>
      </c>
      <c r="E374" s="101">
        <v>0.62222222222222223</v>
      </c>
      <c r="F374" s="64" t="str">
        <f>VLOOKUP(G374,'Vehicle List'!A:C,3,0)</f>
        <v>Kongunadu Roadlines</v>
      </c>
      <c r="G374" s="29" t="s">
        <v>44</v>
      </c>
      <c r="H374" s="29" t="s">
        <v>1735</v>
      </c>
      <c r="I374" s="29" t="s">
        <v>1734</v>
      </c>
      <c r="J374" s="64" t="str">
        <f>VLOOKUP(G374,'Vehicle List'!A:D,4,0)</f>
        <v>Vellore</v>
      </c>
      <c r="K374" s="64" t="s">
        <v>29</v>
      </c>
      <c r="L374" s="64" t="s">
        <v>19</v>
      </c>
      <c r="M374" s="64" t="s">
        <v>19</v>
      </c>
      <c r="N374" s="101">
        <v>0.62222222222222223</v>
      </c>
      <c r="O374" s="29" t="s">
        <v>1206</v>
      </c>
      <c r="P374" s="29" t="s">
        <v>30</v>
      </c>
    </row>
    <row r="375" spans="1:16">
      <c r="A375" s="29">
        <f t="shared" si="5"/>
        <v>374</v>
      </c>
      <c r="B375" s="75">
        <v>46094</v>
      </c>
      <c r="C375" s="63" t="s">
        <v>27</v>
      </c>
      <c r="D375" s="63" t="s">
        <v>39</v>
      </c>
      <c r="E375" s="101">
        <v>0.6333333333333333</v>
      </c>
      <c r="F375" s="64" t="str">
        <f>VLOOKUP(G375,'Vehicle List'!A:C,3,0)</f>
        <v>Rahul Roadlines</v>
      </c>
      <c r="G375" s="29" t="s">
        <v>1137</v>
      </c>
      <c r="H375" s="29" t="s">
        <v>1737</v>
      </c>
      <c r="I375" s="29" t="s">
        <v>1736</v>
      </c>
      <c r="J375" s="64" t="str">
        <f>VLOOKUP(G375,'Vehicle List'!A:D,4,0)</f>
        <v>Bhopal</v>
      </c>
      <c r="K375" s="64" t="s">
        <v>29</v>
      </c>
      <c r="L375" s="64" t="s">
        <v>19</v>
      </c>
      <c r="M375" s="64" t="s">
        <v>19</v>
      </c>
      <c r="N375" s="101">
        <v>0.6333333333333333</v>
      </c>
      <c r="O375" s="29" t="s">
        <v>1062</v>
      </c>
      <c r="P375" s="29" t="s">
        <v>30</v>
      </c>
    </row>
    <row r="376" spans="1:16">
      <c r="A376" s="29">
        <f t="shared" si="5"/>
        <v>375</v>
      </c>
      <c r="B376" s="75">
        <v>46094</v>
      </c>
      <c r="C376" s="63" t="s">
        <v>27</v>
      </c>
      <c r="D376" s="63" t="s">
        <v>39</v>
      </c>
      <c r="E376" s="101">
        <v>0.65763888888888888</v>
      </c>
      <c r="F376" s="64" t="str">
        <f>VLOOKUP(G376,'Vehicle List'!A:C,3,0)</f>
        <v>Rahul Roadlines</v>
      </c>
      <c r="G376" s="29" t="s">
        <v>1103</v>
      </c>
      <c r="H376" s="29" t="s">
        <v>1738</v>
      </c>
      <c r="I376" s="29" t="s">
        <v>1469</v>
      </c>
      <c r="J376" s="64" t="str">
        <f>VLOOKUP(G376,'Vehicle List'!A:D,4,0)</f>
        <v>Bhopal</v>
      </c>
      <c r="K376" s="64" t="s">
        <v>29</v>
      </c>
      <c r="L376" s="64" t="s">
        <v>19</v>
      </c>
      <c r="M376" s="64" t="s">
        <v>19</v>
      </c>
      <c r="N376" s="101">
        <v>0.65763888888888888</v>
      </c>
      <c r="O376" s="29" t="s">
        <v>1474</v>
      </c>
      <c r="P376" s="29" t="s">
        <v>30</v>
      </c>
    </row>
    <row r="377" spans="1:16">
      <c r="A377" s="29">
        <f t="shared" si="5"/>
        <v>376</v>
      </c>
      <c r="B377" s="75">
        <v>46094</v>
      </c>
      <c r="C377" s="63" t="s">
        <v>27</v>
      </c>
      <c r="D377" s="63" t="s">
        <v>39</v>
      </c>
      <c r="E377" s="101">
        <v>0.68472222222222223</v>
      </c>
      <c r="F377" s="64" t="str">
        <f>VLOOKUP(G377,'Vehicle List'!A:C,3,0)</f>
        <v>Rahul Roadlines</v>
      </c>
      <c r="G377" s="29" t="s">
        <v>88</v>
      </c>
      <c r="H377" s="29" t="s">
        <v>907</v>
      </c>
      <c r="I377" s="29" t="s">
        <v>908</v>
      </c>
      <c r="J377" s="64" t="str">
        <f>VLOOKUP(G377,'Vehicle List'!A:D,4,0)</f>
        <v>Dahej</v>
      </c>
      <c r="K377" s="64" t="s">
        <v>29</v>
      </c>
      <c r="L377" s="64" t="s">
        <v>19</v>
      </c>
      <c r="M377" s="64" t="s">
        <v>19</v>
      </c>
      <c r="N377" s="101">
        <v>0.68472222222222223</v>
      </c>
      <c r="O377" s="29" t="s">
        <v>1224</v>
      </c>
      <c r="P377" s="29" t="s">
        <v>21</v>
      </c>
    </row>
    <row r="378" spans="1:16">
      <c r="A378" s="29">
        <f t="shared" si="5"/>
        <v>377</v>
      </c>
      <c r="B378" s="75">
        <v>46094</v>
      </c>
      <c r="C378" s="63" t="s">
        <v>27</v>
      </c>
      <c r="D378" s="63" t="s">
        <v>39</v>
      </c>
      <c r="E378" s="101">
        <v>0.6958333333333333</v>
      </c>
      <c r="F378" s="64" t="str">
        <f>VLOOKUP(G378,'Vehicle List'!A:C,3,0)</f>
        <v>Rahul Roadlines</v>
      </c>
      <c r="G378" s="29" t="s">
        <v>616</v>
      </c>
      <c r="H378" s="29" t="s">
        <v>1334</v>
      </c>
      <c r="I378" s="29" t="s">
        <v>1333</v>
      </c>
      <c r="J378" s="64" t="str">
        <f>VLOOKUP(G378,'Vehicle List'!A:D,4,0)</f>
        <v>Kochi</v>
      </c>
      <c r="K378" s="64" t="s">
        <v>29</v>
      </c>
      <c r="L378" s="64" t="s">
        <v>19</v>
      </c>
      <c r="M378" s="64" t="s">
        <v>19</v>
      </c>
      <c r="N378" s="101">
        <v>0.6958333333333333</v>
      </c>
      <c r="O378" s="29" t="s">
        <v>1260</v>
      </c>
      <c r="P378" s="29" t="s">
        <v>21</v>
      </c>
    </row>
    <row r="379" spans="1:16">
      <c r="A379" s="29">
        <f t="shared" si="5"/>
        <v>378</v>
      </c>
      <c r="B379" s="75">
        <v>46094</v>
      </c>
      <c r="C379" s="63" t="s">
        <v>27</v>
      </c>
      <c r="D379" s="63" t="s">
        <v>39</v>
      </c>
      <c r="E379" s="101">
        <v>0.7270833333333333</v>
      </c>
      <c r="F379" s="64" t="str">
        <f>VLOOKUP(G379,'Vehicle List'!A:C,3,0)</f>
        <v>Anisha Logistics</v>
      </c>
      <c r="G379" s="29" t="s">
        <v>480</v>
      </c>
      <c r="H379" s="29" t="s">
        <v>1292</v>
      </c>
      <c r="I379" s="29" t="s">
        <v>1291</v>
      </c>
      <c r="J379" s="64" t="str">
        <f>VLOOKUP(G379,'Vehicle List'!A:D,4,0)</f>
        <v>Bhopal</v>
      </c>
      <c r="K379" s="64" t="s">
        <v>29</v>
      </c>
      <c r="L379" s="64" t="s">
        <v>19</v>
      </c>
      <c r="M379" s="64" t="s">
        <v>19</v>
      </c>
      <c r="N379" s="101">
        <v>0.7270833333333333</v>
      </c>
      <c r="O379" s="29" t="s">
        <v>1727</v>
      </c>
      <c r="P379" s="29" t="s">
        <v>30</v>
      </c>
    </row>
    <row r="380" spans="1:16">
      <c r="A380" s="29">
        <f t="shared" si="5"/>
        <v>379</v>
      </c>
      <c r="B380" s="75">
        <v>46094</v>
      </c>
      <c r="C380" s="63" t="s">
        <v>27</v>
      </c>
      <c r="D380" s="63" t="s">
        <v>39</v>
      </c>
      <c r="E380" s="101">
        <v>0.74513888888888891</v>
      </c>
      <c r="F380" s="64" t="str">
        <f>VLOOKUP(G380,'Vehicle List'!A:C,3,0)</f>
        <v>Expo Trans India Limited</v>
      </c>
      <c r="G380" s="29" t="s">
        <v>317</v>
      </c>
      <c r="H380" s="29" t="s">
        <v>914</v>
      </c>
      <c r="I380" s="29" t="s">
        <v>1739</v>
      </c>
      <c r="J380" s="64" t="str">
        <f>VLOOKUP(G380,'Vehicle List'!A:D,4,0)</f>
        <v>UHS</v>
      </c>
      <c r="K380" s="64" t="s">
        <v>29</v>
      </c>
      <c r="L380" s="64" t="s">
        <v>19</v>
      </c>
      <c r="M380" s="64" t="s">
        <v>19</v>
      </c>
      <c r="N380" s="101">
        <v>0.74513888888888891</v>
      </c>
      <c r="O380" s="29" t="s">
        <v>1728</v>
      </c>
      <c r="P380" s="29" t="s">
        <v>21</v>
      </c>
    </row>
    <row r="381" spans="1:16">
      <c r="A381" s="29">
        <f t="shared" si="5"/>
        <v>380</v>
      </c>
      <c r="B381" s="75">
        <v>46094</v>
      </c>
      <c r="C381" s="63" t="s">
        <v>27</v>
      </c>
      <c r="D381" s="63" t="s">
        <v>39</v>
      </c>
      <c r="E381" s="101">
        <v>0.74791666666666667</v>
      </c>
      <c r="F381" s="64" t="str">
        <f>VLOOKUP(G381,'Vehicle List'!A:C,3,0)</f>
        <v>Anisha Logistics</v>
      </c>
      <c r="G381" s="29" t="s">
        <v>486</v>
      </c>
      <c r="H381" s="29" t="s">
        <v>1729</v>
      </c>
      <c r="I381" s="29" t="s">
        <v>1296</v>
      </c>
      <c r="J381" s="64" t="str">
        <f>VLOOKUP(G381,'Vehicle List'!A:D,4,0)</f>
        <v>Bhopal</v>
      </c>
      <c r="K381" s="64" t="s">
        <v>26</v>
      </c>
      <c r="L381" s="64" t="s">
        <v>19</v>
      </c>
      <c r="M381" s="64" t="s">
        <v>20</v>
      </c>
      <c r="N381" s="101">
        <v>0.77708333333333335</v>
      </c>
      <c r="O381" s="29" t="s">
        <v>1096</v>
      </c>
      <c r="P381" s="29" t="s">
        <v>21</v>
      </c>
    </row>
    <row r="382" spans="1:16">
      <c r="A382" s="29">
        <f t="shared" si="5"/>
        <v>381</v>
      </c>
      <c r="B382" s="75">
        <v>46094</v>
      </c>
      <c r="C382" s="63" t="s">
        <v>27</v>
      </c>
      <c r="D382" s="63" t="s">
        <v>39</v>
      </c>
      <c r="E382" s="101">
        <v>0.78749999999999998</v>
      </c>
      <c r="F382" s="64" t="str">
        <f>VLOOKUP(G382,'Vehicle List'!A:C,3,0)</f>
        <v>Rahul Roadlines</v>
      </c>
      <c r="G382" s="29" t="s">
        <v>95</v>
      </c>
      <c r="H382" s="29" t="s">
        <v>1741</v>
      </c>
      <c r="I382" s="29" t="s">
        <v>1740</v>
      </c>
      <c r="J382" s="64" t="str">
        <f>VLOOKUP(G382,'Vehicle List'!A:D,4,0)</f>
        <v>BJJ</v>
      </c>
      <c r="K382" s="64" t="s">
        <v>29</v>
      </c>
      <c r="L382" s="64" t="s">
        <v>19</v>
      </c>
      <c r="M382" s="64" t="s">
        <v>19</v>
      </c>
      <c r="N382" s="101">
        <v>0.78749999999999998</v>
      </c>
      <c r="O382" s="29" t="s">
        <v>1727</v>
      </c>
      <c r="P382" s="29" t="s">
        <v>30</v>
      </c>
    </row>
    <row r="383" spans="1:16">
      <c r="A383" s="29">
        <f t="shared" si="5"/>
        <v>382</v>
      </c>
      <c r="B383" s="75">
        <v>46094</v>
      </c>
      <c r="C383" s="63" t="s">
        <v>85</v>
      </c>
      <c r="D383" s="63" t="s">
        <v>16</v>
      </c>
      <c r="E383" s="101">
        <v>0.91041666666666665</v>
      </c>
      <c r="F383" s="64" t="str">
        <f>VLOOKUP(G383,'Vehicle List'!A:C,3,0)</f>
        <v>Expo Trans India Limited</v>
      </c>
      <c r="G383" s="29" t="s">
        <v>319</v>
      </c>
      <c r="H383" s="29" t="s">
        <v>1360</v>
      </c>
      <c r="I383" s="29" t="s">
        <v>1361</v>
      </c>
      <c r="J383" s="64" t="str">
        <f>VLOOKUP(G383,'Vehicle List'!A:D,4,0)</f>
        <v>Chittoor</v>
      </c>
      <c r="K383" s="64" t="s">
        <v>29</v>
      </c>
      <c r="L383" s="64" t="s">
        <v>19</v>
      </c>
      <c r="M383" s="64" t="s">
        <v>19</v>
      </c>
      <c r="N383" s="101">
        <v>0.91041666666666665</v>
      </c>
      <c r="O383" s="29" t="s">
        <v>1543</v>
      </c>
      <c r="P383" s="29" t="s">
        <v>30</v>
      </c>
    </row>
    <row r="384" spans="1:16">
      <c r="A384" s="29">
        <f t="shared" si="5"/>
        <v>383</v>
      </c>
      <c r="B384" s="75">
        <v>46094</v>
      </c>
      <c r="C384" s="63" t="s">
        <v>85</v>
      </c>
      <c r="D384" s="63" t="s">
        <v>16</v>
      </c>
      <c r="E384" s="101">
        <v>0.93333333333333335</v>
      </c>
      <c r="F384" s="64" t="str">
        <f>VLOOKUP(G384,'Vehicle List'!A:C,3,0)</f>
        <v>Kongunadu Roadlines</v>
      </c>
      <c r="G384" s="29" t="s">
        <v>31</v>
      </c>
      <c r="H384" s="29" t="s">
        <v>1217</v>
      </c>
      <c r="I384" s="29" t="s">
        <v>1216</v>
      </c>
      <c r="J384" s="64" t="str">
        <f>VLOOKUP(G384,'Vehicle List'!A:D,4,0)</f>
        <v>Kochi</v>
      </c>
      <c r="K384" s="64" t="s">
        <v>29</v>
      </c>
      <c r="L384" s="64" t="s">
        <v>19</v>
      </c>
      <c r="M384" s="64" t="s">
        <v>19</v>
      </c>
      <c r="N384" s="101">
        <v>0.93333333333333335</v>
      </c>
      <c r="O384" s="29" t="s">
        <v>1195</v>
      </c>
      <c r="P384" s="29" t="s">
        <v>30</v>
      </c>
    </row>
    <row r="385" spans="1:16">
      <c r="A385" s="29">
        <f t="shared" si="5"/>
        <v>384</v>
      </c>
      <c r="B385" s="75">
        <v>46094</v>
      </c>
      <c r="C385" s="63" t="s">
        <v>85</v>
      </c>
      <c r="D385" s="63" t="s">
        <v>16</v>
      </c>
      <c r="E385" s="101">
        <v>0.84444444444444444</v>
      </c>
      <c r="F385" s="64" t="str">
        <f>VLOOKUP(G385,'Vehicle List'!A:C,3,0)</f>
        <v>Expo Trans India Limited</v>
      </c>
      <c r="G385" s="29" t="s">
        <v>537</v>
      </c>
      <c r="H385" s="29" t="s">
        <v>1748</v>
      </c>
      <c r="I385" s="29" t="s">
        <v>1713</v>
      </c>
      <c r="J385" s="64" t="str">
        <f>VLOOKUP(G385,'Vehicle List'!A:D,4,0)</f>
        <v>Jalandhar</v>
      </c>
      <c r="K385" s="64" t="s">
        <v>26</v>
      </c>
      <c r="L385" s="64" t="s">
        <v>19</v>
      </c>
      <c r="M385" s="64" t="s">
        <v>20</v>
      </c>
      <c r="N385" s="101">
        <v>0.95</v>
      </c>
      <c r="O385" s="29" t="s">
        <v>1204</v>
      </c>
      <c r="P385" s="29" t="s">
        <v>21</v>
      </c>
    </row>
    <row r="386" spans="1:16">
      <c r="A386" s="29">
        <f t="shared" si="5"/>
        <v>385</v>
      </c>
      <c r="B386" s="75">
        <v>46094</v>
      </c>
      <c r="C386" s="63" t="s">
        <v>85</v>
      </c>
      <c r="D386" s="63" t="s">
        <v>16</v>
      </c>
      <c r="E386" s="101">
        <v>0.99305555555555558</v>
      </c>
      <c r="F386" s="64" t="str">
        <f>VLOOKUP(G386,'Vehicle List'!A:C,3,0)</f>
        <v>Sritransways Logistics</v>
      </c>
      <c r="G386" s="29" t="s">
        <v>89</v>
      </c>
      <c r="H386" s="29" t="s">
        <v>809</v>
      </c>
      <c r="I386" s="29" t="s">
        <v>810</v>
      </c>
      <c r="J386" s="64" t="str">
        <f>VLOOKUP(G386,'Vehicle List'!A:D,4,0)</f>
        <v>AKT</v>
      </c>
      <c r="K386" s="64" t="s">
        <v>29</v>
      </c>
      <c r="L386" s="64" t="s">
        <v>19</v>
      </c>
      <c r="M386" s="64" t="s">
        <v>19</v>
      </c>
      <c r="N386" s="101">
        <v>0.99305555555555558</v>
      </c>
      <c r="O386" s="29" t="s">
        <v>1284</v>
      </c>
      <c r="P386" s="29" t="s">
        <v>30</v>
      </c>
    </row>
    <row r="387" spans="1:16">
      <c r="A387" s="29">
        <f t="shared" si="5"/>
        <v>386</v>
      </c>
      <c r="B387" s="75">
        <v>46095</v>
      </c>
      <c r="C387" s="63" t="s">
        <v>85</v>
      </c>
      <c r="D387" s="63" t="s">
        <v>16</v>
      </c>
      <c r="E387" s="101">
        <v>2.8472222222222222E-2</v>
      </c>
      <c r="F387" s="64" t="str">
        <f>VLOOKUP(G387,'Vehicle List'!A:C,3,0)</f>
        <v>Kongunadu Roadlines</v>
      </c>
      <c r="G387" s="29" t="s">
        <v>67</v>
      </c>
      <c r="H387" s="29" t="s">
        <v>1743</v>
      </c>
      <c r="I387" s="29" t="s">
        <v>1744</v>
      </c>
      <c r="J387" s="64" t="str">
        <f>VLOOKUP(G387,'Vehicle List'!A:D,4,0)</f>
        <v>Kochi</v>
      </c>
      <c r="K387" s="64" t="s">
        <v>29</v>
      </c>
      <c r="L387" s="64" t="s">
        <v>19</v>
      </c>
      <c r="M387" s="64" t="s">
        <v>19</v>
      </c>
      <c r="N387" s="101">
        <v>2.8472222222222222E-2</v>
      </c>
      <c r="O387" s="29" t="s">
        <v>1721</v>
      </c>
      <c r="P387" s="29" t="s">
        <v>30</v>
      </c>
    </row>
    <row r="388" spans="1:16">
      <c r="A388" s="29">
        <f t="shared" si="5"/>
        <v>387</v>
      </c>
      <c r="B388" s="75">
        <v>46095</v>
      </c>
      <c r="C388" s="63" t="s">
        <v>85</v>
      </c>
      <c r="D388" s="63" t="s">
        <v>16</v>
      </c>
      <c r="E388" s="101">
        <v>4.583333333333333E-2</v>
      </c>
      <c r="F388" s="64" t="str">
        <f>VLOOKUP(G388,'Vehicle List'!A:C,3,0)</f>
        <v>Chaudhary Transport</v>
      </c>
      <c r="G388" s="29" t="s">
        <v>1163</v>
      </c>
      <c r="H388" s="29" t="s">
        <v>1746</v>
      </c>
      <c r="I388" s="29" t="s">
        <v>1747</v>
      </c>
      <c r="J388" s="64" t="str">
        <f>VLOOKUP(G388,'Vehicle List'!A:D,4,0)</f>
        <v>KNV</v>
      </c>
      <c r="K388" s="64" t="s">
        <v>1171</v>
      </c>
      <c r="L388" s="64" t="s">
        <v>19</v>
      </c>
      <c r="M388" s="64" t="s">
        <v>20</v>
      </c>
      <c r="N388" s="101">
        <v>6.7361111111111108E-2</v>
      </c>
      <c r="O388" s="29" t="s">
        <v>1577</v>
      </c>
      <c r="P388" s="29" t="s">
        <v>21</v>
      </c>
    </row>
    <row r="389" spans="1:16">
      <c r="A389" s="29">
        <f t="shared" ref="A389:A452" si="6">A388+1</f>
        <v>388</v>
      </c>
      <c r="B389" s="75">
        <v>46095</v>
      </c>
      <c r="C389" s="63" t="s">
        <v>85</v>
      </c>
      <c r="D389" s="63" t="s">
        <v>16</v>
      </c>
      <c r="E389" s="101">
        <v>5.2083333333333336E-2</v>
      </c>
      <c r="F389" s="64" t="str">
        <f>VLOOKUP(G389,'Vehicle List'!A:C,3,0)</f>
        <v>Kongunadu Roadlines</v>
      </c>
      <c r="G389" s="29" t="s">
        <v>435</v>
      </c>
      <c r="H389" s="29" t="s">
        <v>1749</v>
      </c>
      <c r="I389" s="29" t="s">
        <v>1750</v>
      </c>
      <c r="J389" s="64" t="str">
        <f>VLOOKUP(G389,'Vehicle List'!A:D,4,0)</f>
        <v>Vellore</v>
      </c>
      <c r="K389" s="64" t="s">
        <v>1171</v>
      </c>
      <c r="L389" s="64" t="s">
        <v>19</v>
      </c>
      <c r="M389" s="64" t="s">
        <v>20</v>
      </c>
      <c r="N389" s="101">
        <v>7.1527777777777773E-2</v>
      </c>
      <c r="O389" s="29" t="s">
        <v>1674</v>
      </c>
      <c r="P389" s="29" t="s">
        <v>21</v>
      </c>
    </row>
    <row r="390" spans="1:16">
      <c r="A390" s="29">
        <f t="shared" si="6"/>
        <v>389</v>
      </c>
      <c r="B390" s="75">
        <v>46095</v>
      </c>
      <c r="C390" s="63" t="s">
        <v>85</v>
      </c>
      <c r="D390" s="63" t="s">
        <v>16</v>
      </c>
      <c r="E390" s="101">
        <v>6.1111111111111109E-2</v>
      </c>
      <c r="F390" s="64" t="str">
        <f>VLOOKUP(G390,'Vehicle List'!A:C,3,0)</f>
        <v>Kongunadu Roadlines</v>
      </c>
      <c r="G390" s="29" t="s">
        <v>74</v>
      </c>
      <c r="H390" s="29" t="s">
        <v>1745</v>
      </c>
      <c r="I390" s="29" t="s">
        <v>741</v>
      </c>
      <c r="J390" s="64" t="str">
        <f>VLOOKUP(G390,'Vehicle List'!A:D,4,0)</f>
        <v>Ennore</v>
      </c>
      <c r="K390" s="64" t="s">
        <v>29</v>
      </c>
      <c r="L390" s="64" t="s">
        <v>19</v>
      </c>
      <c r="M390" s="64" t="s">
        <v>19</v>
      </c>
      <c r="N390" s="101">
        <v>6.1111111111111109E-2</v>
      </c>
      <c r="O390" s="29" t="s">
        <v>1721</v>
      </c>
      <c r="P390" s="29" t="s">
        <v>30</v>
      </c>
    </row>
    <row r="391" spans="1:16">
      <c r="A391" s="29">
        <f t="shared" si="6"/>
        <v>390</v>
      </c>
      <c r="B391" s="75">
        <v>46095</v>
      </c>
      <c r="C391" s="63" t="s">
        <v>85</v>
      </c>
      <c r="D391" s="63" t="s">
        <v>16</v>
      </c>
      <c r="E391" s="101">
        <v>0.16597222222222222</v>
      </c>
      <c r="F391" s="64" t="str">
        <f>VLOOKUP(G391,'Vehicle List'!A:C,3,0)</f>
        <v>Chaudhary Transport</v>
      </c>
      <c r="G391" s="29" t="s">
        <v>1099</v>
      </c>
      <c r="H391" s="29" t="s">
        <v>1554</v>
      </c>
      <c r="I391" s="29" t="s">
        <v>1555</v>
      </c>
      <c r="J391" s="64" t="str">
        <f>VLOOKUP(G391,'Vehicle List'!A:D,4,0)</f>
        <v>KNCP</v>
      </c>
      <c r="K391" s="64" t="s">
        <v>26</v>
      </c>
      <c r="L391" s="64" t="s">
        <v>19</v>
      </c>
      <c r="M391" s="64" t="s">
        <v>20</v>
      </c>
      <c r="N391" s="101">
        <v>0.50763888888888886</v>
      </c>
      <c r="O391" s="29" t="s">
        <v>1286</v>
      </c>
      <c r="P391" s="29" t="s">
        <v>21</v>
      </c>
    </row>
    <row r="392" spans="1:16">
      <c r="A392" s="29">
        <f t="shared" si="6"/>
        <v>391</v>
      </c>
      <c r="B392" s="75">
        <v>46095</v>
      </c>
      <c r="C392" s="63" t="s">
        <v>1123</v>
      </c>
      <c r="D392" s="63" t="s">
        <v>28</v>
      </c>
      <c r="E392" s="101">
        <v>0.2673611111111111</v>
      </c>
      <c r="F392" s="64" t="str">
        <f>VLOOKUP(G392,'Vehicle List'!A:C,3,0)</f>
        <v>Expo Trans India Limited</v>
      </c>
      <c r="G392" s="29" t="s">
        <v>523</v>
      </c>
      <c r="H392" s="29" t="s">
        <v>1338</v>
      </c>
      <c r="I392" s="29" t="s">
        <v>1337</v>
      </c>
      <c r="J392" s="64" t="str">
        <f>VLOOKUP(G392,'Vehicle List'!A:D,4,0)</f>
        <v>Jalandhar</v>
      </c>
      <c r="K392" s="64" t="s">
        <v>29</v>
      </c>
      <c r="L392" s="64" t="s">
        <v>19</v>
      </c>
      <c r="M392" s="64" t="s">
        <v>19</v>
      </c>
      <c r="N392" s="101">
        <v>0.27500000000000002</v>
      </c>
      <c r="O392" s="29" t="s">
        <v>1645</v>
      </c>
      <c r="P392" s="29" t="s">
        <v>30</v>
      </c>
    </row>
    <row r="393" spans="1:16">
      <c r="A393" s="29">
        <f t="shared" si="6"/>
        <v>392</v>
      </c>
      <c r="B393" s="75">
        <v>46095</v>
      </c>
      <c r="C393" s="63" t="s">
        <v>1123</v>
      </c>
      <c r="D393" s="63" t="s">
        <v>28</v>
      </c>
      <c r="E393" s="101">
        <v>0.2673611111111111</v>
      </c>
      <c r="F393" s="64" t="str">
        <f>VLOOKUP(G393,'Vehicle List'!A:C,3,0)</f>
        <v>Rahul Roadlines</v>
      </c>
      <c r="G393" s="29" t="s">
        <v>1095</v>
      </c>
      <c r="H393" s="29" t="s">
        <v>1287</v>
      </c>
      <c r="I393" s="29" t="s">
        <v>1288</v>
      </c>
      <c r="J393" s="64" t="str">
        <f>VLOOKUP(G393,'Vehicle List'!A:D,4,0)</f>
        <v>KNCP</v>
      </c>
      <c r="K393" s="64" t="s">
        <v>29</v>
      </c>
      <c r="L393" s="64" t="s">
        <v>19</v>
      </c>
      <c r="M393" s="64" t="s">
        <v>19</v>
      </c>
      <c r="N393" s="101">
        <v>0.27569444444444446</v>
      </c>
      <c r="O393" s="29" t="s">
        <v>1645</v>
      </c>
      <c r="P393" s="29" t="s">
        <v>30</v>
      </c>
    </row>
    <row r="394" spans="1:16">
      <c r="A394" s="29">
        <f t="shared" si="6"/>
        <v>393</v>
      </c>
      <c r="B394" s="75">
        <v>46095</v>
      </c>
      <c r="C394" s="63" t="s">
        <v>1123</v>
      </c>
      <c r="D394" s="63" t="s">
        <v>28</v>
      </c>
      <c r="E394" s="101">
        <v>0.27013888888888887</v>
      </c>
      <c r="F394" s="64" t="str">
        <f>VLOOKUP(G394,'Vehicle List'!A:C,3,0)</f>
        <v>Expo Trans India Limited</v>
      </c>
      <c r="G394" s="29" t="s">
        <v>304</v>
      </c>
      <c r="H394" s="29" t="s">
        <v>1485</v>
      </c>
      <c r="I394" s="29" t="s">
        <v>1484</v>
      </c>
      <c r="J394" s="64" t="str">
        <f>VLOOKUP(G394,'Vehicle List'!A:D,4,0)</f>
        <v>ANK</v>
      </c>
      <c r="K394" s="64" t="s">
        <v>29</v>
      </c>
      <c r="L394" s="64" t="s">
        <v>19</v>
      </c>
      <c r="M394" s="64" t="s">
        <v>19</v>
      </c>
      <c r="N394" s="101">
        <v>0.27708333333333335</v>
      </c>
      <c r="O394" s="29" t="s">
        <v>1645</v>
      </c>
      <c r="P394" s="29" t="s">
        <v>30</v>
      </c>
    </row>
    <row r="395" spans="1:16">
      <c r="A395" s="29">
        <f t="shared" si="6"/>
        <v>394</v>
      </c>
      <c r="B395" s="75">
        <v>46095</v>
      </c>
      <c r="C395" s="63" t="s">
        <v>1123</v>
      </c>
      <c r="D395" s="63" t="s">
        <v>28</v>
      </c>
      <c r="E395" s="101">
        <v>0.27777777777777779</v>
      </c>
      <c r="F395" s="64" t="str">
        <f>VLOOKUP(G395,'Vehicle List'!A:C,3,0)</f>
        <v>Kongunadu Roadlines</v>
      </c>
      <c r="G395" s="29" t="s">
        <v>67</v>
      </c>
      <c r="H395" s="29" t="s">
        <v>1743</v>
      </c>
      <c r="I395" s="29" t="s">
        <v>1744</v>
      </c>
      <c r="J395" s="64" t="str">
        <f>VLOOKUP(G395,'Vehicle List'!A:D,4,0)</f>
        <v>Kochi</v>
      </c>
      <c r="K395" s="64" t="s">
        <v>29</v>
      </c>
      <c r="L395" s="64" t="s">
        <v>19</v>
      </c>
      <c r="M395" s="64" t="s">
        <v>19</v>
      </c>
      <c r="N395" s="101">
        <v>0.28333333333333333</v>
      </c>
      <c r="O395" s="29" t="s">
        <v>1721</v>
      </c>
      <c r="P395" s="29" t="s">
        <v>30</v>
      </c>
    </row>
    <row r="396" spans="1:16">
      <c r="A396" s="29">
        <f t="shared" si="6"/>
        <v>395</v>
      </c>
      <c r="B396" s="75">
        <v>46095</v>
      </c>
      <c r="C396" s="63" t="s">
        <v>1123</v>
      </c>
      <c r="D396" s="63" t="s">
        <v>28</v>
      </c>
      <c r="E396" s="101">
        <v>0.29166666666666669</v>
      </c>
      <c r="F396" s="64" t="str">
        <f>VLOOKUP(G396,'Vehicle List'!A:C,3,0)</f>
        <v>Chaudhary Transport</v>
      </c>
      <c r="G396" s="29" t="s">
        <v>1099</v>
      </c>
      <c r="H396" s="29" t="s">
        <v>1554</v>
      </c>
      <c r="I396" s="29" t="s">
        <v>1555</v>
      </c>
      <c r="J396" s="64" t="str">
        <f>VLOOKUP(G396,'Vehicle List'!A:D,4,0)</f>
        <v>KNCP</v>
      </c>
      <c r="K396" s="64" t="s">
        <v>29</v>
      </c>
      <c r="L396" s="64" t="s">
        <v>19</v>
      </c>
      <c r="M396" s="64" t="s">
        <v>19</v>
      </c>
      <c r="N396" s="101">
        <v>0.29791666666666666</v>
      </c>
      <c r="O396" s="29" t="s">
        <v>1182</v>
      </c>
      <c r="P396" s="29" t="s">
        <v>30</v>
      </c>
    </row>
    <row r="397" spans="1:16">
      <c r="A397" s="29">
        <f t="shared" si="6"/>
        <v>396</v>
      </c>
      <c r="B397" s="75">
        <v>46095</v>
      </c>
      <c r="C397" s="63" t="s">
        <v>1123</v>
      </c>
      <c r="D397" s="63" t="s">
        <v>28</v>
      </c>
      <c r="E397" s="101">
        <v>0.31944444444444442</v>
      </c>
      <c r="F397" s="64" t="str">
        <f>VLOOKUP(G397,'Vehicle List'!A:C,3,0)</f>
        <v>Expo Trans India Limited</v>
      </c>
      <c r="G397" s="29" t="s">
        <v>526</v>
      </c>
      <c r="H397" s="29" t="s">
        <v>1714</v>
      </c>
      <c r="I397" s="29" t="s">
        <v>1713</v>
      </c>
      <c r="J397" s="64" t="str">
        <f>VLOOKUP(G397,'Vehicle List'!A:D,4,0)</f>
        <v>Jalandhar</v>
      </c>
      <c r="K397" s="64" t="s">
        <v>29</v>
      </c>
      <c r="L397" s="64" t="s">
        <v>19</v>
      </c>
      <c r="M397" s="64" t="s">
        <v>19</v>
      </c>
      <c r="N397" s="101">
        <v>0.32430555555555557</v>
      </c>
      <c r="O397" s="29" t="s">
        <v>1756</v>
      </c>
      <c r="P397" s="29" t="s">
        <v>30</v>
      </c>
    </row>
    <row r="398" spans="1:16">
      <c r="A398" s="29">
        <f t="shared" si="6"/>
        <v>397</v>
      </c>
      <c r="B398" s="75">
        <v>46095</v>
      </c>
      <c r="C398" s="63" t="s">
        <v>1123</v>
      </c>
      <c r="D398" s="63" t="s">
        <v>28</v>
      </c>
      <c r="E398" s="101">
        <v>0.3263888888888889</v>
      </c>
      <c r="F398" s="64" t="str">
        <f>VLOOKUP(G398,'Vehicle List'!A:C,3,0)</f>
        <v>Kongunadu Roadlines</v>
      </c>
      <c r="G398" s="29" t="s">
        <v>74</v>
      </c>
      <c r="H398" s="29" t="s">
        <v>1745</v>
      </c>
      <c r="I398" s="29" t="s">
        <v>741</v>
      </c>
      <c r="J398" s="64" t="str">
        <f>VLOOKUP(G398,'Vehicle List'!A:D,4,0)</f>
        <v>Ennore</v>
      </c>
      <c r="K398" s="64" t="s">
        <v>29</v>
      </c>
      <c r="L398" s="64" t="s">
        <v>19</v>
      </c>
      <c r="M398" s="64" t="s">
        <v>19</v>
      </c>
      <c r="N398" s="101">
        <v>0.33055555555555555</v>
      </c>
      <c r="O398" s="29" t="s">
        <v>1676</v>
      </c>
      <c r="P398" s="29" t="s">
        <v>30</v>
      </c>
    </row>
    <row r="399" spans="1:16">
      <c r="A399" s="29">
        <f t="shared" si="6"/>
        <v>398</v>
      </c>
      <c r="B399" s="75">
        <v>46095</v>
      </c>
      <c r="C399" s="63" t="s">
        <v>1123</v>
      </c>
      <c r="D399" s="63" t="s">
        <v>28</v>
      </c>
      <c r="E399" s="101">
        <v>0.32708333333333334</v>
      </c>
      <c r="F399" s="64" t="str">
        <f>VLOOKUP(G399,'Vehicle List'!A:C,3,0)</f>
        <v>Kongunadu Roadlines</v>
      </c>
      <c r="G399" s="29" t="s">
        <v>462</v>
      </c>
      <c r="H399" s="29" t="s">
        <v>1753</v>
      </c>
      <c r="I399" s="29" t="s">
        <v>1752</v>
      </c>
      <c r="J399" s="64" t="str">
        <f>VLOOKUP(G399,'Vehicle List'!A:D,4,0)</f>
        <v>Ramanathapuram</v>
      </c>
      <c r="K399" s="64" t="s">
        <v>29</v>
      </c>
      <c r="L399" s="64" t="s">
        <v>19</v>
      </c>
      <c r="M399" s="64" t="s">
        <v>19</v>
      </c>
      <c r="N399" s="101">
        <v>0.33333333333333331</v>
      </c>
      <c r="O399" s="29" t="s">
        <v>1633</v>
      </c>
      <c r="P399" s="29" t="s">
        <v>30</v>
      </c>
    </row>
    <row r="400" spans="1:16">
      <c r="A400" s="29">
        <f t="shared" si="6"/>
        <v>399</v>
      </c>
      <c r="B400" s="75">
        <v>46095</v>
      </c>
      <c r="C400" s="63" t="s">
        <v>1123</v>
      </c>
      <c r="D400" s="63" t="s">
        <v>28</v>
      </c>
      <c r="E400" s="101">
        <v>0.32708333333333334</v>
      </c>
      <c r="F400" s="64" t="str">
        <f>VLOOKUP(G400,'Vehicle List'!A:C,3,0)</f>
        <v>Expo Trans India Limited</v>
      </c>
      <c r="G400" s="29" t="s">
        <v>287</v>
      </c>
      <c r="H400" s="29" t="s">
        <v>1493</v>
      </c>
      <c r="I400" s="29" t="s">
        <v>1188</v>
      </c>
      <c r="J400" s="64" t="str">
        <f>VLOOKUP(G400,'Vehicle List'!A:D,4,0)</f>
        <v>Kolar</v>
      </c>
      <c r="K400" s="64" t="s">
        <v>29</v>
      </c>
      <c r="L400" s="64" t="s">
        <v>19</v>
      </c>
      <c r="M400" s="64" t="s">
        <v>19</v>
      </c>
      <c r="N400" s="101">
        <v>0.33402777777777776</v>
      </c>
      <c r="O400" s="29" t="s">
        <v>1189</v>
      </c>
      <c r="P400" s="29" t="s">
        <v>30</v>
      </c>
    </row>
    <row r="401" spans="1:16">
      <c r="A401" s="29">
        <f t="shared" si="6"/>
        <v>400</v>
      </c>
      <c r="B401" s="75">
        <v>46095</v>
      </c>
      <c r="C401" s="63" t="s">
        <v>1123</v>
      </c>
      <c r="D401" s="63" t="s">
        <v>28</v>
      </c>
      <c r="E401" s="101">
        <v>0.33680555555555558</v>
      </c>
      <c r="F401" s="64" t="str">
        <f>VLOOKUP(G401,'Vehicle List'!A:C,3,0)</f>
        <v>Anisha Logistics</v>
      </c>
      <c r="G401" s="29" t="s">
        <v>486</v>
      </c>
      <c r="H401" s="29" t="s">
        <v>1729</v>
      </c>
      <c r="I401" s="29" t="s">
        <v>1296</v>
      </c>
      <c r="J401" s="64" t="str">
        <f>VLOOKUP(G401,'Vehicle List'!A:D,4,0)</f>
        <v>Bhopal</v>
      </c>
      <c r="K401" s="64" t="s">
        <v>29</v>
      </c>
      <c r="L401" s="64" t="s">
        <v>19</v>
      </c>
      <c r="M401" s="64" t="s">
        <v>19</v>
      </c>
      <c r="N401" s="101">
        <v>0.33680555555555558</v>
      </c>
      <c r="O401" s="29" t="s">
        <v>1720</v>
      </c>
      <c r="P401" s="29" t="s">
        <v>30</v>
      </c>
    </row>
    <row r="402" spans="1:16">
      <c r="A402" s="29">
        <f t="shared" si="6"/>
        <v>401</v>
      </c>
      <c r="B402" s="75">
        <v>46095</v>
      </c>
      <c r="C402" s="63" t="s">
        <v>27</v>
      </c>
      <c r="D402" s="63" t="s">
        <v>138</v>
      </c>
      <c r="E402" s="101">
        <v>0.41944444444444445</v>
      </c>
      <c r="F402" s="64" t="str">
        <f>VLOOKUP(G402,'Vehicle List'!A:C,3,0)</f>
        <v>Rahul Roadlines</v>
      </c>
      <c r="G402" s="29" t="s">
        <v>1103</v>
      </c>
      <c r="H402" s="29" t="s">
        <v>1754</v>
      </c>
      <c r="I402" s="29" t="s">
        <v>1755</v>
      </c>
      <c r="J402" s="64" t="str">
        <f>VLOOKUP(G402,'Vehicle List'!A:D,4,0)</f>
        <v>Bhopal</v>
      </c>
      <c r="K402" s="64" t="s">
        <v>26</v>
      </c>
      <c r="L402" s="64" t="s">
        <v>19</v>
      </c>
      <c r="M402" s="64" t="s">
        <v>20</v>
      </c>
      <c r="N402" s="101">
        <v>0.4236111111111111</v>
      </c>
      <c r="O402" s="29" t="s">
        <v>1096</v>
      </c>
      <c r="P402" s="29" t="s">
        <v>21</v>
      </c>
    </row>
    <row r="403" spans="1:16">
      <c r="A403" s="29">
        <f t="shared" si="6"/>
        <v>402</v>
      </c>
      <c r="B403" s="75">
        <v>46095</v>
      </c>
      <c r="C403" s="63" t="s">
        <v>1123</v>
      </c>
      <c r="D403" s="63" t="s">
        <v>28</v>
      </c>
      <c r="E403" s="101">
        <v>0.47986111111111113</v>
      </c>
      <c r="F403" s="64" t="str">
        <f>VLOOKUP(G403,'Vehicle List'!A:C,3,0)</f>
        <v>Kongunadu Roadlines</v>
      </c>
      <c r="G403" s="29" t="s">
        <v>605</v>
      </c>
      <c r="H403" s="29" t="s">
        <v>1560</v>
      </c>
      <c r="I403" s="29" t="s">
        <v>1561</v>
      </c>
      <c r="J403" s="64" t="str">
        <f>VLOOKUP(G403,'Vehicle List'!A:D,4,0)</f>
        <v>Ennore</v>
      </c>
      <c r="K403" s="64" t="s">
        <v>29</v>
      </c>
      <c r="L403" s="64" t="s">
        <v>19</v>
      </c>
      <c r="M403" s="64" t="s">
        <v>19</v>
      </c>
      <c r="N403" s="101">
        <v>0.48680555555555555</v>
      </c>
      <c r="O403" s="29" t="s">
        <v>1245</v>
      </c>
      <c r="P403" s="29" t="s">
        <v>30</v>
      </c>
    </row>
    <row r="404" spans="1:16">
      <c r="A404" s="29">
        <f t="shared" si="6"/>
        <v>403</v>
      </c>
      <c r="B404" s="75">
        <v>46095</v>
      </c>
      <c r="C404" s="63" t="s">
        <v>1123</v>
      </c>
      <c r="D404" s="63" t="s">
        <v>28</v>
      </c>
      <c r="E404" s="101">
        <v>0.53194444444444444</v>
      </c>
      <c r="F404" s="64" t="str">
        <f>VLOOKUP(G404,'Vehicle List'!A:C,3,0)</f>
        <v>Kongunadu Roadlines</v>
      </c>
      <c r="G404" s="29" t="s">
        <v>593</v>
      </c>
      <c r="H404" s="29" t="s">
        <v>1716</v>
      </c>
      <c r="I404" s="29" t="s">
        <v>1715</v>
      </c>
      <c r="J404" s="64" t="str">
        <f>VLOOKUP(G404,'Vehicle List'!A:D,4,0)</f>
        <v>Kochi</v>
      </c>
      <c r="K404" s="64" t="s">
        <v>29</v>
      </c>
      <c r="L404" s="64" t="s">
        <v>19</v>
      </c>
      <c r="M404" s="64" t="s">
        <v>19</v>
      </c>
      <c r="N404" s="101">
        <v>0.53749999999999998</v>
      </c>
      <c r="O404" s="29" t="s">
        <v>1474</v>
      </c>
      <c r="P404" s="29" t="s">
        <v>30</v>
      </c>
    </row>
    <row r="405" spans="1:16">
      <c r="A405" s="29">
        <f t="shared" si="6"/>
        <v>404</v>
      </c>
      <c r="B405" s="75">
        <v>46095</v>
      </c>
      <c r="C405" s="63" t="s">
        <v>85</v>
      </c>
      <c r="D405" s="63" t="s">
        <v>39</v>
      </c>
      <c r="E405" s="101">
        <v>0.60833333333333328</v>
      </c>
      <c r="F405" s="64" t="str">
        <f>VLOOKUP(G405,'Vehicle List'!A:C,3,0)</f>
        <v>Kongunadu Roadlines</v>
      </c>
      <c r="G405" s="29" t="s">
        <v>315</v>
      </c>
      <c r="H405" s="29" t="s">
        <v>1763</v>
      </c>
      <c r="I405" s="29" t="s">
        <v>1764</v>
      </c>
      <c r="J405" s="64" t="str">
        <f>VLOOKUP(G405,'Vehicle List'!A:D,4,0)</f>
        <v>KNCP</v>
      </c>
      <c r="K405" s="64" t="s">
        <v>29</v>
      </c>
      <c r="L405" s="64" t="s">
        <v>19</v>
      </c>
      <c r="M405" s="64" t="s">
        <v>19</v>
      </c>
      <c r="N405" s="101">
        <v>0.60833333333333328</v>
      </c>
      <c r="O405" s="29" t="s">
        <v>1195</v>
      </c>
      <c r="P405" s="29" t="s">
        <v>30</v>
      </c>
    </row>
    <row r="406" spans="1:16">
      <c r="A406" s="29">
        <f t="shared" si="6"/>
        <v>405</v>
      </c>
      <c r="B406" s="75">
        <v>46095</v>
      </c>
      <c r="C406" s="63" t="s">
        <v>85</v>
      </c>
      <c r="D406" s="63" t="s">
        <v>39</v>
      </c>
      <c r="E406" s="101">
        <v>0.61041666666666672</v>
      </c>
      <c r="F406" s="64" t="str">
        <f>VLOOKUP(G406,'Vehicle List'!A:C,3,0)</f>
        <v>Kongunadu Roadlines</v>
      </c>
      <c r="G406" s="29" t="s">
        <v>96</v>
      </c>
      <c r="H406" s="29" t="s">
        <v>1765</v>
      </c>
      <c r="I406" s="29" t="s">
        <v>1766</v>
      </c>
      <c r="J406" s="64" t="str">
        <f>VLOOKUP(G406,'Vehicle List'!A:D,4,0)</f>
        <v>Dahej</v>
      </c>
      <c r="K406" s="64" t="s">
        <v>29</v>
      </c>
      <c r="L406" s="64" t="s">
        <v>19</v>
      </c>
      <c r="M406" s="64" t="s">
        <v>19</v>
      </c>
      <c r="N406" s="101">
        <v>0.61041666666666672</v>
      </c>
      <c r="O406" s="29" t="s">
        <v>1062</v>
      </c>
      <c r="P406" s="29" t="s">
        <v>30</v>
      </c>
    </row>
    <row r="407" spans="1:16">
      <c r="A407" s="29">
        <f t="shared" si="6"/>
        <v>406</v>
      </c>
      <c r="B407" s="75">
        <v>46095</v>
      </c>
      <c r="C407" s="63" t="s">
        <v>85</v>
      </c>
      <c r="D407" s="63" t="s">
        <v>39</v>
      </c>
      <c r="E407" s="101">
        <v>0.61250000000000004</v>
      </c>
      <c r="F407" s="64" t="str">
        <f>VLOOKUP(G407,'Vehicle List'!A:C,3,0)</f>
        <v>Rahul Roadlines</v>
      </c>
      <c r="G407" s="29" t="s">
        <v>1095</v>
      </c>
      <c r="H407" s="29" t="s">
        <v>1767</v>
      </c>
      <c r="I407" s="29" t="s">
        <v>1768</v>
      </c>
      <c r="J407" s="64" t="str">
        <f>VLOOKUP(G407,'Vehicle List'!A:D,4,0)</f>
        <v>KNCP</v>
      </c>
      <c r="K407" s="64" t="s">
        <v>29</v>
      </c>
      <c r="L407" s="64" t="s">
        <v>19</v>
      </c>
      <c r="M407" s="64" t="s">
        <v>19</v>
      </c>
      <c r="N407" s="101">
        <v>0.61250000000000004</v>
      </c>
      <c r="O407" s="29" t="s">
        <v>1645</v>
      </c>
      <c r="P407" s="29" t="s">
        <v>30</v>
      </c>
    </row>
    <row r="408" spans="1:16">
      <c r="A408" s="29">
        <f t="shared" si="6"/>
        <v>407</v>
      </c>
      <c r="B408" s="75">
        <v>46095</v>
      </c>
      <c r="C408" s="63" t="s">
        <v>27</v>
      </c>
      <c r="D408" s="63" t="s">
        <v>39</v>
      </c>
      <c r="E408" s="101">
        <v>0.62569444444444444</v>
      </c>
      <c r="F408" s="64" t="str">
        <f>VLOOKUP(G408,'Vehicle List'!A:C,3,0)</f>
        <v>Kongunadu Roadlines</v>
      </c>
      <c r="G408" s="29" t="s">
        <v>36</v>
      </c>
      <c r="H408" s="29" t="s">
        <v>1769</v>
      </c>
      <c r="I408" s="29" t="s">
        <v>1770</v>
      </c>
      <c r="J408" s="64" t="str">
        <f>VLOOKUP(G408,'Vehicle List'!A:D,4,0)</f>
        <v>KNCP</v>
      </c>
      <c r="K408" s="64" t="s">
        <v>29</v>
      </c>
      <c r="L408" s="64" t="s">
        <v>19</v>
      </c>
      <c r="M408" s="64" t="s">
        <v>19</v>
      </c>
      <c r="N408" s="101">
        <v>0.62569444444444444</v>
      </c>
      <c r="O408" s="29" t="s">
        <v>1224</v>
      </c>
      <c r="P408" s="29" t="s">
        <v>30</v>
      </c>
    </row>
    <row r="409" spans="1:16">
      <c r="A409" s="29">
        <f t="shared" si="6"/>
        <v>408</v>
      </c>
      <c r="B409" s="75">
        <v>46095</v>
      </c>
      <c r="C409" s="63" t="s">
        <v>85</v>
      </c>
      <c r="D409" s="63" t="s">
        <v>39</v>
      </c>
      <c r="E409" s="101">
        <v>0.54791666666666672</v>
      </c>
      <c r="F409" s="64" t="str">
        <f>VLOOKUP(G409,'Vehicle List'!A:C,3,0)</f>
        <v>Anisha Logistics</v>
      </c>
      <c r="G409" s="29" t="s">
        <v>51</v>
      </c>
      <c r="H409" s="29" t="s">
        <v>1761</v>
      </c>
      <c r="I409" s="29" t="s">
        <v>1762</v>
      </c>
      <c r="J409" s="64" t="str">
        <f>VLOOKUP(G409,'Vehicle List'!A:D,4,0)</f>
        <v>BJJ</v>
      </c>
      <c r="K409" s="64" t="s">
        <v>26</v>
      </c>
      <c r="L409" s="64" t="s">
        <v>19</v>
      </c>
      <c r="M409" s="64" t="s">
        <v>20</v>
      </c>
      <c r="N409" s="101">
        <v>0.63680555555555551</v>
      </c>
      <c r="O409" s="29" t="s">
        <v>1078</v>
      </c>
      <c r="P409" s="29" t="s">
        <v>21</v>
      </c>
    </row>
    <row r="410" spans="1:16">
      <c r="A410" s="29">
        <f t="shared" si="6"/>
        <v>409</v>
      </c>
      <c r="B410" s="75">
        <v>46095</v>
      </c>
      <c r="C410" s="63" t="s">
        <v>27</v>
      </c>
      <c r="D410" s="63" t="s">
        <v>39</v>
      </c>
      <c r="E410" s="101">
        <v>0.65416666666666667</v>
      </c>
      <c r="F410" s="64" t="str">
        <f>VLOOKUP(G410,'Vehicle List'!A:C,3,0)</f>
        <v>Expo Trans India Limited</v>
      </c>
      <c r="G410" s="29" t="s">
        <v>287</v>
      </c>
      <c r="H410" s="29" t="s">
        <v>1493</v>
      </c>
      <c r="I410" s="29" t="s">
        <v>1188</v>
      </c>
      <c r="J410" s="64" t="str">
        <f>VLOOKUP(G410,'Vehicle List'!A:D,4,0)</f>
        <v>Kolar</v>
      </c>
      <c r="K410" s="64" t="s">
        <v>29</v>
      </c>
      <c r="L410" s="64" t="s">
        <v>19</v>
      </c>
      <c r="M410" s="64" t="s">
        <v>19</v>
      </c>
      <c r="N410" s="101">
        <v>0.65416666666666667</v>
      </c>
      <c r="O410" s="29" t="s">
        <v>1189</v>
      </c>
      <c r="P410" s="29" t="s">
        <v>30</v>
      </c>
    </row>
    <row r="411" spans="1:16">
      <c r="A411" s="29">
        <f t="shared" si="6"/>
        <v>410</v>
      </c>
      <c r="B411" s="75">
        <v>46095</v>
      </c>
      <c r="C411" s="63" t="s">
        <v>85</v>
      </c>
      <c r="D411" s="63" t="s">
        <v>39</v>
      </c>
      <c r="E411" s="101">
        <v>0.66388888888888886</v>
      </c>
      <c r="F411" s="64" t="str">
        <f>VLOOKUP(G411,'Vehicle List'!A:C,3,0)</f>
        <v>Kongunadu Roadlines</v>
      </c>
      <c r="G411" s="29" t="s">
        <v>406</v>
      </c>
      <c r="H411" s="29" t="s">
        <v>1771</v>
      </c>
      <c r="I411" s="29" t="s">
        <v>1772</v>
      </c>
      <c r="J411" s="64" t="str">
        <f>VLOOKUP(G411,'Vehicle List'!A:D,4,0)</f>
        <v>Vellore</v>
      </c>
      <c r="K411" s="64" t="s">
        <v>29</v>
      </c>
      <c r="L411" s="64" t="s">
        <v>19</v>
      </c>
      <c r="M411" s="64" t="s">
        <v>19</v>
      </c>
      <c r="N411" s="101">
        <v>0.66388888888888886</v>
      </c>
      <c r="O411" s="29" t="s">
        <v>1284</v>
      </c>
      <c r="P411" s="29" t="s">
        <v>30</v>
      </c>
    </row>
    <row r="412" spans="1:16">
      <c r="A412" s="29">
        <f t="shared" si="6"/>
        <v>411</v>
      </c>
      <c r="B412" s="75">
        <v>46095</v>
      </c>
      <c r="C412" s="63" t="s">
        <v>85</v>
      </c>
      <c r="D412" s="63" t="s">
        <v>39</v>
      </c>
      <c r="E412" s="101">
        <v>0.67222222222222228</v>
      </c>
      <c r="F412" s="64" t="str">
        <f>VLOOKUP(G412,'Vehicle List'!A:C,3,0)</f>
        <v>Expo Trans India Limited</v>
      </c>
      <c r="G412" s="29" t="s">
        <v>304</v>
      </c>
      <c r="H412" s="29" t="s">
        <v>1485</v>
      </c>
      <c r="I412" s="29" t="s">
        <v>1484</v>
      </c>
      <c r="J412" s="64" t="str">
        <f>VLOOKUP(G412,'Vehicle List'!A:D,4,0)</f>
        <v>ANK</v>
      </c>
      <c r="K412" s="64" t="s">
        <v>29</v>
      </c>
      <c r="L412" s="64" t="s">
        <v>19</v>
      </c>
      <c r="M412" s="64" t="s">
        <v>19</v>
      </c>
      <c r="N412" s="101">
        <v>0.67222222222222228</v>
      </c>
      <c r="O412" s="29" t="s">
        <v>1645</v>
      </c>
      <c r="P412" s="29" t="s">
        <v>21</v>
      </c>
    </row>
    <row r="413" spans="1:16">
      <c r="A413" s="29">
        <f t="shared" si="6"/>
        <v>412</v>
      </c>
      <c r="B413" s="75">
        <v>46095</v>
      </c>
      <c r="C413" s="63" t="s">
        <v>85</v>
      </c>
      <c r="D413" s="63" t="s">
        <v>39</v>
      </c>
      <c r="E413" s="101">
        <v>0.64513888888888893</v>
      </c>
      <c r="F413" s="64" t="str">
        <f>VLOOKUP(G413,'Vehicle List'!A:C,3,0)</f>
        <v>Expo Trans India Limited</v>
      </c>
      <c r="G413" s="29" t="s">
        <v>1146</v>
      </c>
      <c r="H413" s="29" t="s">
        <v>1759</v>
      </c>
      <c r="I413" s="29" t="s">
        <v>1760</v>
      </c>
      <c r="J413" s="64" t="str">
        <f>VLOOKUP(G413,'Vehicle List'!A:D,4,0)</f>
        <v>Bhopal</v>
      </c>
      <c r="K413" s="64" t="s">
        <v>26</v>
      </c>
      <c r="L413" s="64" t="s">
        <v>19</v>
      </c>
      <c r="M413" s="64" t="s">
        <v>20</v>
      </c>
      <c r="N413" s="101">
        <v>0.72638888888888886</v>
      </c>
      <c r="O413" s="29" t="s">
        <v>1096</v>
      </c>
      <c r="P413" s="29" t="s">
        <v>21</v>
      </c>
    </row>
    <row r="414" spans="1:16">
      <c r="A414" s="29">
        <f t="shared" si="6"/>
        <v>413</v>
      </c>
      <c r="B414" s="75">
        <v>46095</v>
      </c>
      <c r="C414" s="63" t="s">
        <v>85</v>
      </c>
      <c r="D414" s="63" t="s">
        <v>39</v>
      </c>
      <c r="E414" s="101">
        <v>0.74583333333333335</v>
      </c>
      <c r="F414" s="64" t="str">
        <f>VLOOKUP(G414,'Vehicle List'!A:C,3,0)</f>
        <v>Kongunadu Roadlines</v>
      </c>
      <c r="G414" s="29" t="s">
        <v>591</v>
      </c>
      <c r="H414" s="29" t="s">
        <v>1773</v>
      </c>
      <c r="I414" s="29" t="s">
        <v>1519</v>
      </c>
      <c r="J414" s="64" t="str">
        <f>VLOOKUP(G414,'Vehicle List'!A:D,4,0)</f>
        <v>Kochi</v>
      </c>
      <c r="K414" s="64" t="s">
        <v>29</v>
      </c>
      <c r="L414" s="64" t="s">
        <v>19</v>
      </c>
      <c r="M414" s="64" t="s">
        <v>19</v>
      </c>
      <c r="N414" s="101">
        <v>0.76597222222222228</v>
      </c>
      <c r="O414" s="29" t="s">
        <v>1244</v>
      </c>
      <c r="P414" s="29" t="s">
        <v>21</v>
      </c>
    </row>
    <row r="415" spans="1:16">
      <c r="A415" s="29">
        <f t="shared" si="6"/>
        <v>414</v>
      </c>
      <c r="B415" s="75">
        <v>46095</v>
      </c>
      <c r="C415" s="63" t="s">
        <v>85</v>
      </c>
      <c r="D415" s="63" t="s">
        <v>39</v>
      </c>
      <c r="E415" s="101">
        <v>0.81527777777777777</v>
      </c>
      <c r="F415" s="64" t="str">
        <f>VLOOKUP(G415,'Vehicle List'!A:C,3,0)</f>
        <v>Kongunadu Roadlines</v>
      </c>
      <c r="G415" s="29" t="s">
        <v>397</v>
      </c>
      <c r="H415" s="29" t="s">
        <v>1587</v>
      </c>
      <c r="I415" s="29" t="s">
        <v>1588</v>
      </c>
      <c r="J415" s="64" t="str">
        <f>VLOOKUP(G415,'Vehicle List'!A:D,4,0)</f>
        <v>KNCP</v>
      </c>
      <c r="K415" s="64" t="s">
        <v>29</v>
      </c>
      <c r="L415" s="64" t="s">
        <v>19</v>
      </c>
      <c r="M415" s="64" t="s">
        <v>19</v>
      </c>
      <c r="N415" s="101">
        <v>0.81527777777777777</v>
      </c>
      <c r="O415" s="29" t="s">
        <v>1182</v>
      </c>
      <c r="P415" s="29" t="s">
        <v>30</v>
      </c>
    </row>
    <row r="416" spans="1:16">
      <c r="A416" s="29">
        <f t="shared" si="6"/>
        <v>415</v>
      </c>
      <c r="B416" s="75">
        <v>46095</v>
      </c>
      <c r="C416" s="63" t="s">
        <v>85</v>
      </c>
      <c r="D416" s="63" t="s">
        <v>39</v>
      </c>
      <c r="E416" s="101">
        <v>0.85624999999999996</v>
      </c>
      <c r="F416" s="64" t="str">
        <f>VLOOKUP(G416,'Vehicle List'!A:C,3,0)</f>
        <v>Expo Trans India Limited</v>
      </c>
      <c r="G416" s="29" t="s">
        <v>1146</v>
      </c>
      <c r="H416" s="29" t="s">
        <v>1759</v>
      </c>
      <c r="I416" s="29" t="s">
        <v>1760</v>
      </c>
      <c r="J416" s="64" t="str">
        <f>VLOOKUP(G416,'Vehicle List'!A:D,4,0)</f>
        <v>Bhopal</v>
      </c>
      <c r="K416" s="64" t="s">
        <v>29</v>
      </c>
      <c r="L416" s="64" t="s">
        <v>19</v>
      </c>
      <c r="M416" s="64" t="s">
        <v>19</v>
      </c>
      <c r="N416" s="101">
        <v>0.85624999999999996</v>
      </c>
      <c r="O416" s="29" t="s">
        <v>1775</v>
      </c>
      <c r="P416" s="29" t="s">
        <v>21</v>
      </c>
    </row>
    <row r="417" spans="1:16">
      <c r="A417" s="29">
        <f t="shared" si="6"/>
        <v>416</v>
      </c>
      <c r="B417" s="75">
        <v>46095</v>
      </c>
      <c r="C417" s="63" t="s">
        <v>1268</v>
      </c>
      <c r="D417" s="63" t="s">
        <v>16</v>
      </c>
      <c r="E417" s="101">
        <v>0.92083333333333328</v>
      </c>
      <c r="F417" s="64" t="str">
        <f>VLOOKUP(G417,'Vehicle List'!A:C,3,0)</f>
        <v>Expo Trans India Limited</v>
      </c>
      <c r="G417" s="29" t="s">
        <v>302</v>
      </c>
      <c r="H417" s="29" t="s">
        <v>1783</v>
      </c>
      <c r="I417" s="29" t="s">
        <v>1784</v>
      </c>
      <c r="J417" s="64" t="str">
        <f>VLOOKUP(G417,'Vehicle List'!A:D,4,0)</f>
        <v>UHS</v>
      </c>
      <c r="K417" s="64" t="s">
        <v>29</v>
      </c>
      <c r="L417" s="64" t="s">
        <v>19</v>
      </c>
      <c r="M417" s="64" t="s">
        <v>19</v>
      </c>
      <c r="N417" s="101">
        <v>0.92083333333333328</v>
      </c>
      <c r="O417" s="29" t="s">
        <v>1195</v>
      </c>
      <c r="P417" s="29" t="s">
        <v>21</v>
      </c>
    </row>
    <row r="418" spans="1:16">
      <c r="A418" s="29">
        <f t="shared" si="6"/>
        <v>417</v>
      </c>
      <c r="B418" s="75">
        <v>46095</v>
      </c>
      <c r="C418" s="63" t="s">
        <v>1268</v>
      </c>
      <c r="D418" s="63" t="s">
        <v>16</v>
      </c>
      <c r="E418" s="101">
        <v>0.92638888888888893</v>
      </c>
      <c r="F418" s="64" t="str">
        <f>VLOOKUP(G418,'Vehicle List'!A:C,3,0)</f>
        <v>Kongunadu Roadlines</v>
      </c>
      <c r="G418" s="29" t="s">
        <v>606</v>
      </c>
      <c r="H418" s="29" t="s">
        <v>1263</v>
      </c>
      <c r="I418" s="29" t="s">
        <v>1262</v>
      </c>
      <c r="J418" s="64" t="str">
        <f>VLOOKUP(G418,'Vehicle List'!A:D,4,0)</f>
        <v>Ennore</v>
      </c>
      <c r="K418" s="64" t="s">
        <v>29</v>
      </c>
      <c r="L418" s="64" t="s">
        <v>19</v>
      </c>
      <c r="M418" s="64" t="s">
        <v>19</v>
      </c>
      <c r="N418" s="101">
        <v>0.92638888888888893</v>
      </c>
      <c r="O418" s="29" t="s">
        <v>1673</v>
      </c>
      <c r="P418" s="29" t="s">
        <v>21</v>
      </c>
    </row>
    <row r="419" spans="1:16">
      <c r="A419" s="29">
        <f t="shared" si="6"/>
        <v>418</v>
      </c>
      <c r="B419" s="75">
        <v>46095</v>
      </c>
      <c r="C419" s="63" t="s">
        <v>1268</v>
      </c>
      <c r="D419" s="63" t="s">
        <v>16</v>
      </c>
      <c r="E419" s="101">
        <v>0.93194444444444446</v>
      </c>
      <c r="F419" s="64" t="str">
        <f>VLOOKUP(G419,'Vehicle List'!A:C,3,0)</f>
        <v>Kongunadu Roadlines</v>
      </c>
      <c r="G419" s="29" t="s">
        <v>314</v>
      </c>
      <c r="H419" s="29" t="s">
        <v>1186</v>
      </c>
      <c r="I419" s="29" t="s">
        <v>1185</v>
      </c>
      <c r="J419" s="64" t="str">
        <f>VLOOKUP(G419,'Vehicle List'!A:D,4,0)</f>
        <v>KNCP</v>
      </c>
      <c r="K419" s="64" t="s">
        <v>29</v>
      </c>
      <c r="L419" s="64" t="s">
        <v>19</v>
      </c>
      <c r="M419" s="64" t="s">
        <v>19</v>
      </c>
      <c r="N419" s="101">
        <v>0.93194444444444446</v>
      </c>
      <c r="O419" s="29" t="s">
        <v>1182</v>
      </c>
      <c r="P419" s="29" t="s">
        <v>30</v>
      </c>
    </row>
    <row r="420" spans="1:16">
      <c r="A420" s="29">
        <f t="shared" si="6"/>
        <v>419</v>
      </c>
      <c r="B420" s="75">
        <v>46095</v>
      </c>
      <c r="C420" s="63" t="s">
        <v>1268</v>
      </c>
      <c r="D420" s="63" t="s">
        <v>16</v>
      </c>
      <c r="E420" s="101">
        <v>0.94444444444444442</v>
      </c>
      <c r="F420" s="64" t="str">
        <f>VLOOKUP(G420,'Vehicle List'!A:C,3,0)</f>
        <v>Expo Trans India Limited</v>
      </c>
      <c r="G420" s="29" t="s">
        <v>290</v>
      </c>
      <c r="H420" s="29" t="s">
        <v>1115</v>
      </c>
      <c r="I420" s="29" t="s">
        <v>1108</v>
      </c>
      <c r="J420" s="64" t="str">
        <f>VLOOKUP(G420,'Vehicle List'!A:D,4,0)</f>
        <v>BJJ</v>
      </c>
      <c r="K420" s="64" t="s">
        <v>29</v>
      </c>
      <c r="L420" s="64" t="s">
        <v>19</v>
      </c>
      <c r="M420" s="64" t="s">
        <v>19</v>
      </c>
      <c r="N420" s="101">
        <v>0.94444444444444442</v>
      </c>
      <c r="O420" s="29" t="s">
        <v>1284</v>
      </c>
      <c r="P420" s="29" t="s">
        <v>30</v>
      </c>
    </row>
    <row r="421" spans="1:16">
      <c r="A421" s="29">
        <f t="shared" si="6"/>
        <v>420</v>
      </c>
      <c r="B421" s="75">
        <v>46095</v>
      </c>
      <c r="C421" s="63" t="s">
        <v>1268</v>
      </c>
      <c r="D421" s="63" t="s">
        <v>16</v>
      </c>
      <c r="E421" s="101">
        <v>0.94652777777777775</v>
      </c>
      <c r="F421" s="64" t="str">
        <f>VLOOKUP(G421,'Vehicle List'!A:C,3,0)</f>
        <v>Kongunadu Roadlines</v>
      </c>
      <c r="G421" s="29" t="s">
        <v>406</v>
      </c>
      <c r="H421" s="29" t="s">
        <v>1771</v>
      </c>
      <c r="I421" s="29" t="s">
        <v>1772</v>
      </c>
      <c r="J421" s="64" t="str">
        <f>VLOOKUP(G421,'Vehicle List'!A:D,4,0)</f>
        <v>Vellore</v>
      </c>
      <c r="K421" s="64" t="s">
        <v>29</v>
      </c>
      <c r="L421" s="64" t="s">
        <v>19</v>
      </c>
      <c r="M421" s="64" t="s">
        <v>19</v>
      </c>
      <c r="N421" s="101">
        <v>0.94652777777777775</v>
      </c>
      <c r="O421" s="29" t="s">
        <v>1284</v>
      </c>
      <c r="P421" s="29" t="s">
        <v>21</v>
      </c>
    </row>
    <row r="422" spans="1:16">
      <c r="A422" s="29">
        <f t="shared" si="6"/>
        <v>421</v>
      </c>
      <c r="B422" s="75">
        <v>46095</v>
      </c>
      <c r="C422" s="63" t="s">
        <v>1268</v>
      </c>
      <c r="D422" s="63" t="s">
        <v>16</v>
      </c>
      <c r="E422" s="101">
        <v>0.94861111111111107</v>
      </c>
      <c r="F422" s="64" t="str">
        <f>VLOOKUP(G422,'Vehicle List'!A:C,3,0)</f>
        <v>Anisha Logistics</v>
      </c>
      <c r="G422" s="29" t="s">
        <v>515</v>
      </c>
      <c r="H422" s="29" t="s">
        <v>1781</v>
      </c>
      <c r="I422" s="29" t="s">
        <v>1782</v>
      </c>
      <c r="J422" s="64" t="str">
        <f>VLOOKUP(G422,'Vehicle List'!A:D,4,0)</f>
        <v>Jalandhar</v>
      </c>
      <c r="K422" s="64" t="s">
        <v>26</v>
      </c>
      <c r="L422" s="64" t="s">
        <v>19</v>
      </c>
      <c r="M422" s="64" t="s">
        <v>20</v>
      </c>
      <c r="N422" s="101">
        <v>0.96458333333333335</v>
      </c>
      <c r="O422" s="29" t="s">
        <v>1204</v>
      </c>
      <c r="P422" s="29" t="s">
        <v>21</v>
      </c>
    </row>
    <row r="423" spans="1:16">
      <c r="A423" s="29">
        <f t="shared" si="6"/>
        <v>422</v>
      </c>
      <c r="B423" s="75">
        <v>46095</v>
      </c>
      <c r="C423" s="63" t="s">
        <v>1268</v>
      </c>
      <c r="D423" s="63" t="s">
        <v>16</v>
      </c>
      <c r="E423" s="101">
        <v>0.95208333333333328</v>
      </c>
      <c r="F423" s="64" t="str">
        <f>VLOOKUP(G423,'Vehicle List'!A:C,3,0)</f>
        <v>Anisha Logistics</v>
      </c>
      <c r="G423" s="29" t="s">
        <v>515</v>
      </c>
      <c r="H423" s="29" t="s">
        <v>1781</v>
      </c>
      <c r="I423" s="29" t="s">
        <v>1782</v>
      </c>
      <c r="J423" s="64" t="str">
        <f>VLOOKUP(G423,'Vehicle List'!A:D,4,0)</f>
        <v>Jalandhar</v>
      </c>
      <c r="K423" s="64" t="s">
        <v>29</v>
      </c>
      <c r="L423" s="64" t="s">
        <v>19</v>
      </c>
      <c r="M423" s="64" t="s">
        <v>19</v>
      </c>
      <c r="N423" s="101">
        <v>0.95208333333333328</v>
      </c>
      <c r="O423" s="29" t="s">
        <v>1673</v>
      </c>
      <c r="P423" s="29" t="s">
        <v>21</v>
      </c>
    </row>
    <row r="424" spans="1:16">
      <c r="A424" s="29">
        <f t="shared" si="6"/>
        <v>423</v>
      </c>
      <c r="B424" s="75">
        <v>46095</v>
      </c>
      <c r="C424" s="63" t="s">
        <v>1268</v>
      </c>
      <c r="D424" s="63" t="s">
        <v>16</v>
      </c>
      <c r="E424" s="101">
        <v>0.97916666666666663</v>
      </c>
      <c r="F424" s="64" t="str">
        <f>VLOOKUP(G424,'Vehicle List'!A:C,3,0)</f>
        <v>Expo Trans India Limited</v>
      </c>
      <c r="G424" s="29" t="s">
        <v>1147</v>
      </c>
      <c r="H424" s="29" t="s">
        <v>1779</v>
      </c>
      <c r="I424" s="29" t="s">
        <v>1780</v>
      </c>
      <c r="J424" s="64" t="str">
        <f>VLOOKUP(G424,'Vehicle List'!A:D,4,0)</f>
        <v>Bhopal</v>
      </c>
      <c r="K424" s="64" t="s">
        <v>26</v>
      </c>
      <c r="L424" s="64" t="s">
        <v>19</v>
      </c>
      <c r="M424" s="64" t="s">
        <v>20</v>
      </c>
      <c r="N424" s="101">
        <v>0.98472222222222228</v>
      </c>
      <c r="O424" s="29" t="s">
        <v>1096</v>
      </c>
      <c r="P424" s="29" t="s">
        <v>21</v>
      </c>
    </row>
    <row r="425" spans="1:16">
      <c r="A425" s="29">
        <f t="shared" si="6"/>
        <v>424</v>
      </c>
      <c r="B425" s="75">
        <v>46096</v>
      </c>
      <c r="C425" s="63" t="s">
        <v>1268</v>
      </c>
      <c r="D425" s="63" t="s">
        <v>16</v>
      </c>
      <c r="E425" s="101">
        <v>2.361111111111111E-2</v>
      </c>
      <c r="F425" s="64" t="str">
        <f>VLOOKUP(G425,'Vehicle List'!A:C,3,0)</f>
        <v>Kongunadu Roadlines</v>
      </c>
      <c r="G425" s="29" t="s">
        <v>74</v>
      </c>
      <c r="H425" s="29" t="s">
        <v>1324</v>
      </c>
      <c r="I425" s="29" t="s">
        <v>1325</v>
      </c>
      <c r="J425" s="64" t="s">
        <v>1832</v>
      </c>
      <c r="K425" s="64" t="s">
        <v>26</v>
      </c>
      <c r="L425" s="64" t="s">
        <v>19</v>
      </c>
      <c r="M425" s="64" t="s">
        <v>20</v>
      </c>
      <c r="N425" s="101">
        <v>7.9861111111111105E-2</v>
      </c>
      <c r="O425" s="29" t="s">
        <v>1244</v>
      </c>
      <c r="P425" s="29" t="s">
        <v>21</v>
      </c>
    </row>
    <row r="426" spans="1:16">
      <c r="A426" s="29">
        <f t="shared" si="6"/>
        <v>425</v>
      </c>
      <c r="B426" s="75">
        <v>46096</v>
      </c>
      <c r="C426" s="63" t="s">
        <v>1268</v>
      </c>
      <c r="D426" s="63" t="s">
        <v>16</v>
      </c>
      <c r="E426" s="101">
        <v>3.8194444444444448E-2</v>
      </c>
      <c r="F426" s="64" t="str">
        <f>VLOOKUP(G426,'Vehicle List'!A:C,3,0)</f>
        <v>Expo Trans India Limited</v>
      </c>
      <c r="G426" s="29" t="s">
        <v>521</v>
      </c>
      <c r="H426" s="29" t="s">
        <v>1643</v>
      </c>
      <c r="I426" s="29" t="s">
        <v>1644</v>
      </c>
      <c r="J426" s="64" t="str">
        <f>VLOOKUP(G426,'Vehicle List'!A:D,4,0)</f>
        <v>Baghpat</v>
      </c>
      <c r="K426" s="64" t="s">
        <v>29</v>
      </c>
      <c r="L426" s="64" t="s">
        <v>19</v>
      </c>
      <c r="M426" s="64" t="s">
        <v>19</v>
      </c>
      <c r="N426" s="101">
        <v>3.8194444444444448E-2</v>
      </c>
      <c r="O426" s="29" t="s">
        <v>1721</v>
      </c>
      <c r="P426" s="29" t="s">
        <v>21</v>
      </c>
    </row>
    <row r="427" spans="1:16">
      <c r="A427" s="29">
        <f t="shared" si="6"/>
        <v>426</v>
      </c>
      <c r="B427" s="75">
        <v>46096</v>
      </c>
      <c r="C427" s="63" t="s">
        <v>1268</v>
      </c>
      <c r="D427" s="63" t="s">
        <v>16</v>
      </c>
      <c r="E427" s="101">
        <v>4.0972222222222222E-2</v>
      </c>
      <c r="F427" s="64" t="str">
        <f>VLOOKUP(G427,'Vehicle List'!A:C,3,0)</f>
        <v>Sritransways Logistics</v>
      </c>
      <c r="G427" s="29" t="s">
        <v>86</v>
      </c>
      <c r="H427" s="29" t="s">
        <v>809</v>
      </c>
      <c r="I427" s="29" t="s">
        <v>810</v>
      </c>
      <c r="J427" s="64" t="str">
        <f>VLOOKUP(G427,'Vehicle List'!A:D,4,0)</f>
        <v>AKT</v>
      </c>
      <c r="K427" s="64" t="s">
        <v>29</v>
      </c>
      <c r="L427" s="64" t="s">
        <v>19</v>
      </c>
      <c r="M427" s="64" t="s">
        <v>19</v>
      </c>
      <c r="N427" s="101">
        <v>4.0972222222222222E-2</v>
      </c>
      <c r="O427" s="29" t="s">
        <v>1284</v>
      </c>
      <c r="P427" s="29" t="s">
        <v>30</v>
      </c>
    </row>
    <row r="428" spans="1:16">
      <c r="A428" s="29">
        <f t="shared" si="6"/>
        <v>427</v>
      </c>
      <c r="B428" s="75">
        <v>46096</v>
      </c>
      <c r="C428" s="63" t="s">
        <v>1268</v>
      </c>
      <c r="D428" s="63" t="s">
        <v>16</v>
      </c>
      <c r="E428" s="101">
        <v>0.14097222222222222</v>
      </c>
      <c r="F428" s="64" t="s">
        <v>1126</v>
      </c>
      <c r="G428" s="29" t="s">
        <v>1776</v>
      </c>
      <c r="H428" s="29" t="s">
        <v>1778</v>
      </c>
      <c r="I428" s="29" t="s">
        <v>1777</v>
      </c>
      <c r="J428" s="64" t="s">
        <v>586</v>
      </c>
      <c r="K428" s="64" t="s">
        <v>29</v>
      </c>
      <c r="L428" s="64" t="s">
        <v>19</v>
      </c>
      <c r="M428" s="64" t="s">
        <v>19</v>
      </c>
      <c r="N428" s="101">
        <v>0.14097222222222222</v>
      </c>
      <c r="O428" s="29" t="s">
        <v>1673</v>
      </c>
      <c r="P428" s="29" t="s">
        <v>21</v>
      </c>
    </row>
    <row r="429" spans="1:16">
      <c r="A429" s="29">
        <f t="shared" si="6"/>
        <v>428</v>
      </c>
      <c r="B429" s="75">
        <v>46096</v>
      </c>
      <c r="C429" s="63" t="s">
        <v>1268</v>
      </c>
      <c r="D429" s="63" t="s">
        <v>16</v>
      </c>
      <c r="E429" s="101">
        <v>0.23680555555555555</v>
      </c>
      <c r="F429" s="64" t="str">
        <f>VLOOKUP(G429,'Vehicle List'!A:C,3,0)</f>
        <v>Kongunadu Roadlines</v>
      </c>
      <c r="G429" s="29" t="s">
        <v>297</v>
      </c>
      <c r="H429" s="29" t="s">
        <v>1274</v>
      </c>
      <c r="I429" s="29" t="s">
        <v>1275</v>
      </c>
      <c r="J429" s="64" t="str">
        <f>VLOOKUP(G429,'Vehicle List'!A:D,4,0)</f>
        <v>AKT</v>
      </c>
      <c r="K429" s="64" t="s">
        <v>29</v>
      </c>
      <c r="L429" s="64" t="s">
        <v>19</v>
      </c>
      <c r="M429" s="64" t="s">
        <v>19</v>
      </c>
      <c r="N429" s="101">
        <v>0.23680555555555555</v>
      </c>
      <c r="O429" s="29" t="s">
        <v>1721</v>
      </c>
      <c r="P429" s="29" t="s">
        <v>30</v>
      </c>
    </row>
    <row r="430" spans="1:16">
      <c r="A430" s="29">
        <f t="shared" si="6"/>
        <v>429</v>
      </c>
      <c r="B430" s="75">
        <v>46096</v>
      </c>
      <c r="C430" s="63" t="s">
        <v>1268</v>
      </c>
      <c r="D430" s="63" t="s">
        <v>16</v>
      </c>
      <c r="E430" s="101">
        <v>0.23958333333333334</v>
      </c>
      <c r="F430" s="64" t="str">
        <f>VLOOKUP(G430,'Vehicle List'!A:C,3,0)</f>
        <v>Kongunadu Roadlines</v>
      </c>
      <c r="G430" s="29" t="s">
        <v>389</v>
      </c>
      <c r="H430" s="29" t="s">
        <v>1786</v>
      </c>
      <c r="I430" s="29" t="s">
        <v>1787</v>
      </c>
      <c r="J430" s="64" t="str">
        <f>VLOOKUP(G430,'Vehicle List'!A:D,4,0)</f>
        <v>BKR</v>
      </c>
      <c r="K430" s="64" t="s">
        <v>29</v>
      </c>
      <c r="L430" s="64" t="s">
        <v>19</v>
      </c>
      <c r="M430" s="64" t="s">
        <v>19</v>
      </c>
      <c r="N430" s="101">
        <v>0.23958333333333334</v>
      </c>
      <c r="O430" s="29" t="s">
        <v>1195</v>
      </c>
      <c r="P430" s="29" t="s">
        <v>21</v>
      </c>
    </row>
    <row r="431" spans="1:16">
      <c r="A431" s="29">
        <f t="shared" si="6"/>
        <v>430</v>
      </c>
      <c r="B431" s="75">
        <v>46096</v>
      </c>
      <c r="C431" s="63" t="s">
        <v>1123</v>
      </c>
      <c r="D431" s="63" t="s">
        <v>28</v>
      </c>
      <c r="E431" s="101">
        <v>0.2638888888888889</v>
      </c>
      <c r="F431" s="64" t="str">
        <f>VLOOKUP(G431,'Vehicle List'!A:C,3,0)</f>
        <v>Kongunadu Roadlines</v>
      </c>
      <c r="G431" s="29" t="s">
        <v>67</v>
      </c>
      <c r="H431" s="29" t="s">
        <v>1743</v>
      </c>
      <c r="I431" s="29" t="s">
        <v>1744</v>
      </c>
      <c r="J431" s="64" t="str">
        <f>VLOOKUP(G431,'Vehicle List'!A:D,4,0)</f>
        <v>Kochi</v>
      </c>
      <c r="K431" s="64" t="s">
        <v>29</v>
      </c>
      <c r="L431" s="64" t="s">
        <v>19</v>
      </c>
      <c r="M431" s="64" t="s">
        <v>19</v>
      </c>
      <c r="N431" s="101">
        <v>0.26944444444444443</v>
      </c>
      <c r="O431" s="29" t="s">
        <v>1721</v>
      </c>
      <c r="P431" s="29" t="s">
        <v>30</v>
      </c>
    </row>
    <row r="432" spans="1:16">
      <c r="A432" s="29">
        <f t="shared" si="6"/>
        <v>431</v>
      </c>
      <c r="B432" s="75">
        <v>46096</v>
      </c>
      <c r="C432" s="63" t="s">
        <v>1123</v>
      </c>
      <c r="D432" s="63" t="s">
        <v>28</v>
      </c>
      <c r="E432" s="101">
        <v>0.2638888888888889</v>
      </c>
      <c r="F432" s="64" t="str">
        <f>VLOOKUP(G432,'Vehicle List'!A:C,3,0)</f>
        <v>Kongunadu Roadlines</v>
      </c>
      <c r="G432" s="29" t="s">
        <v>461</v>
      </c>
      <c r="H432" s="29" t="s">
        <v>1708</v>
      </c>
      <c r="I432" s="29" t="s">
        <v>1707</v>
      </c>
      <c r="J432" s="64" t="str">
        <f>VLOOKUP(G432,'Vehicle List'!A:D,4,0)</f>
        <v>CHK</v>
      </c>
      <c r="K432" s="64" t="s">
        <v>29</v>
      </c>
      <c r="L432" s="64" t="s">
        <v>19</v>
      </c>
      <c r="M432" s="64" t="s">
        <v>19</v>
      </c>
      <c r="N432" s="101">
        <v>0.27083333333333331</v>
      </c>
      <c r="O432" s="29" t="s">
        <v>1633</v>
      </c>
      <c r="P432" s="29" t="s">
        <v>30</v>
      </c>
    </row>
    <row r="433" spans="1:16">
      <c r="A433" s="29">
        <f t="shared" si="6"/>
        <v>432</v>
      </c>
      <c r="B433" s="75">
        <v>46096</v>
      </c>
      <c r="C433" s="63" t="s">
        <v>1123</v>
      </c>
      <c r="D433" s="63" t="s">
        <v>28</v>
      </c>
      <c r="E433" s="101">
        <v>0.26527777777777778</v>
      </c>
      <c r="F433" s="64" t="str">
        <f>VLOOKUP(G433,'Vehicle List'!A:C,3,0)</f>
        <v>Green Planet</v>
      </c>
      <c r="G433" s="29" t="s">
        <v>611</v>
      </c>
      <c r="H433" s="29" t="s">
        <v>1622</v>
      </c>
      <c r="I433" s="29" t="s">
        <v>1623</v>
      </c>
      <c r="J433" s="64" t="str">
        <f>VLOOKUP(G433,'Vehicle List'!A:D,4,0)</f>
        <v>Kochi</v>
      </c>
      <c r="K433" s="64" t="s">
        <v>29</v>
      </c>
      <c r="L433" s="64" t="s">
        <v>19</v>
      </c>
      <c r="M433" s="64" t="s">
        <v>19</v>
      </c>
      <c r="N433" s="101">
        <v>0.2722222222222222</v>
      </c>
      <c r="O433" s="29" t="s">
        <v>1721</v>
      </c>
      <c r="P433" s="29" t="s">
        <v>30</v>
      </c>
    </row>
    <row r="434" spans="1:16">
      <c r="A434" s="29">
        <f t="shared" si="6"/>
        <v>433</v>
      </c>
      <c r="B434" s="75">
        <v>46096</v>
      </c>
      <c r="C434" s="63" t="s">
        <v>1123</v>
      </c>
      <c r="D434" s="63" t="s">
        <v>28</v>
      </c>
      <c r="E434" s="101">
        <v>0.26805555555555555</v>
      </c>
      <c r="F434" s="64" t="str">
        <f>VLOOKUP(G434,'Vehicle List'!A:C,3,0)</f>
        <v>Expo Trans India Limited</v>
      </c>
      <c r="G434" s="29" t="s">
        <v>287</v>
      </c>
      <c r="H434" s="29" t="s">
        <v>1493</v>
      </c>
      <c r="I434" s="29" t="s">
        <v>1188</v>
      </c>
      <c r="J434" s="64" t="str">
        <f>VLOOKUP(G434,'Vehicle List'!A:D,4,0)</f>
        <v>Kolar</v>
      </c>
      <c r="K434" s="64" t="s">
        <v>29</v>
      </c>
      <c r="L434" s="64" t="s">
        <v>19</v>
      </c>
      <c r="M434" s="64" t="s">
        <v>19</v>
      </c>
      <c r="N434" s="101">
        <v>0.27500000000000002</v>
      </c>
      <c r="O434" s="29" t="s">
        <v>1189</v>
      </c>
      <c r="P434" s="29" t="s">
        <v>30</v>
      </c>
    </row>
    <row r="435" spans="1:16">
      <c r="A435" s="29">
        <f t="shared" si="6"/>
        <v>434</v>
      </c>
      <c r="B435" s="75">
        <v>46096</v>
      </c>
      <c r="C435" s="63" t="s">
        <v>1123</v>
      </c>
      <c r="D435" s="63" t="s">
        <v>28</v>
      </c>
      <c r="E435" s="101">
        <v>0.29166666666666669</v>
      </c>
      <c r="F435" s="64" t="str">
        <f>VLOOKUP(G435,'Vehicle List'!A:C,3,0)</f>
        <v>Rahul Roadlines</v>
      </c>
      <c r="G435" s="29" t="s">
        <v>1095</v>
      </c>
      <c r="H435" s="29" t="s">
        <v>1767</v>
      </c>
      <c r="I435" s="29" t="s">
        <v>1768</v>
      </c>
      <c r="J435" s="64" t="str">
        <f>VLOOKUP(G435,'Vehicle List'!A:D,4,0)</f>
        <v>KNCP</v>
      </c>
      <c r="K435" s="64" t="s">
        <v>29</v>
      </c>
      <c r="L435" s="64" t="s">
        <v>19</v>
      </c>
      <c r="M435" s="64" t="s">
        <v>19</v>
      </c>
      <c r="N435" s="101">
        <v>0.29583333333333334</v>
      </c>
      <c r="O435" s="29" t="s">
        <v>1645</v>
      </c>
      <c r="P435" s="29" t="s">
        <v>30</v>
      </c>
    </row>
    <row r="436" spans="1:16">
      <c r="A436" s="29">
        <f t="shared" si="6"/>
        <v>435</v>
      </c>
      <c r="B436" s="75">
        <v>46096</v>
      </c>
      <c r="C436" s="63" t="s">
        <v>1123</v>
      </c>
      <c r="D436" s="63" t="s">
        <v>28</v>
      </c>
      <c r="E436" s="101">
        <v>0.27083333333333331</v>
      </c>
      <c r="F436" s="64" t="str">
        <f>VLOOKUP(G436,'Vehicle List'!A:C,3,0)</f>
        <v>Anisha Logistics</v>
      </c>
      <c r="G436" s="29" t="s">
        <v>517</v>
      </c>
      <c r="H436" s="29" t="s">
        <v>1797</v>
      </c>
      <c r="I436" s="29" t="s">
        <v>1796</v>
      </c>
      <c r="J436" s="64" t="str">
        <f>VLOOKUP(G436,'Vehicle List'!A:D,4,0)</f>
        <v>Jalandhar</v>
      </c>
      <c r="K436" s="64" t="s">
        <v>26</v>
      </c>
      <c r="L436" s="64" t="s">
        <v>19</v>
      </c>
      <c r="M436" s="64" t="s">
        <v>20</v>
      </c>
      <c r="N436" s="101">
        <v>0.30138888888888887</v>
      </c>
      <c r="O436" s="29" t="s">
        <v>1204</v>
      </c>
      <c r="P436" s="29" t="s">
        <v>21</v>
      </c>
    </row>
    <row r="437" spans="1:16">
      <c r="A437" s="29">
        <f t="shared" si="6"/>
        <v>436</v>
      </c>
      <c r="B437" s="75">
        <v>46096</v>
      </c>
      <c r="C437" s="63" t="s">
        <v>1123</v>
      </c>
      <c r="D437" s="63" t="s">
        <v>28</v>
      </c>
      <c r="E437" s="101">
        <v>0.33819444444444446</v>
      </c>
      <c r="F437" s="64" t="str">
        <f>VLOOKUP(G437,'Vehicle List'!A:C,3,0)</f>
        <v>Rahul Roadlines</v>
      </c>
      <c r="G437" s="29" t="s">
        <v>616</v>
      </c>
      <c r="H437" s="29" t="s">
        <v>1334</v>
      </c>
      <c r="I437" s="29" t="s">
        <v>1333</v>
      </c>
      <c r="J437" s="64" t="str">
        <f>VLOOKUP(G437,'Vehicle List'!A:D,4,0)</f>
        <v>Kochi</v>
      </c>
      <c r="K437" s="64" t="s">
        <v>29</v>
      </c>
      <c r="L437" s="64" t="s">
        <v>19</v>
      </c>
      <c r="M437" s="64" t="s">
        <v>19</v>
      </c>
      <c r="N437" s="101">
        <v>0.33958333333333335</v>
      </c>
      <c r="O437" s="29" t="s">
        <v>1260</v>
      </c>
      <c r="P437" s="29" t="s">
        <v>21</v>
      </c>
    </row>
    <row r="438" spans="1:16">
      <c r="A438" s="29">
        <f t="shared" si="6"/>
        <v>437</v>
      </c>
      <c r="B438" s="75">
        <v>46096</v>
      </c>
      <c r="C438" s="63" t="s">
        <v>1123</v>
      </c>
      <c r="D438" s="63" t="s">
        <v>28</v>
      </c>
      <c r="E438" s="101">
        <v>0.33819444444444446</v>
      </c>
      <c r="F438" s="64" t="str">
        <f>VLOOKUP(G438,'Vehicle List'!A:C,3,0)</f>
        <v>Rahul Roadlines</v>
      </c>
      <c r="G438" s="29" t="s">
        <v>350</v>
      </c>
      <c r="H438" s="29" t="s">
        <v>1348</v>
      </c>
      <c r="I438" s="29" t="s">
        <v>1347</v>
      </c>
      <c r="J438" s="64" t="str">
        <f>VLOOKUP(G438,'Vehicle List'!A:D,4,0)</f>
        <v>BJJ</v>
      </c>
      <c r="K438" s="64" t="s">
        <v>29</v>
      </c>
      <c r="L438" s="64" t="s">
        <v>19</v>
      </c>
      <c r="M438" s="64" t="s">
        <v>19</v>
      </c>
      <c r="N438" s="101">
        <v>0.34097222222222223</v>
      </c>
      <c r="O438" s="29" t="s">
        <v>1315</v>
      </c>
      <c r="P438" s="29" t="s">
        <v>30</v>
      </c>
    </row>
    <row r="439" spans="1:16">
      <c r="A439" s="29">
        <f t="shared" si="6"/>
        <v>438</v>
      </c>
      <c r="B439" s="75">
        <v>46096</v>
      </c>
      <c r="C439" s="63" t="s">
        <v>1123</v>
      </c>
      <c r="D439" s="63" t="s">
        <v>28</v>
      </c>
      <c r="E439" s="101">
        <v>0.33819444444444446</v>
      </c>
      <c r="F439" s="64" t="str">
        <f>VLOOKUP(G439,'Vehicle List'!A:C,3,0)</f>
        <v>Kongunadu Roadlines</v>
      </c>
      <c r="G439" s="29" t="s">
        <v>460</v>
      </c>
      <c r="H439" s="29" t="s">
        <v>1789</v>
      </c>
      <c r="I439" s="29" t="s">
        <v>1788</v>
      </c>
      <c r="J439" s="64" t="str">
        <f>VLOOKUP(G439,'Vehicle List'!A:D,4,0)</f>
        <v>Nellore</v>
      </c>
      <c r="K439" s="64" t="s">
        <v>29</v>
      </c>
      <c r="L439" s="64" t="s">
        <v>19</v>
      </c>
      <c r="M439" s="64" t="s">
        <v>19</v>
      </c>
      <c r="N439" s="101">
        <v>0.34375</v>
      </c>
      <c r="O439" s="29" t="s">
        <v>1182</v>
      </c>
      <c r="P439" s="29" t="s">
        <v>30</v>
      </c>
    </row>
    <row r="440" spans="1:16">
      <c r="A440" s="29">
        <f t="shared" si="6"/>
        <v>439</v>
      </c>
      <c r="B440" s="75">
        <v>46096</v>
      </c>
      <c r="C440" s="63" t="s">
        <v>1123</v>
      </c>
      <c r="D440" s="63" t="s">
        <v>28</v>
      </c>
      <c r="E440" s="101">
        <v>0.34027777777777779</v>
      </c>
      <c r="F440" s="64" t="str">
        <f>VLOOKUP(G440,'Vehicle List'!A:C,3,0)</f>
        <v>Oraya Gas India Pvt.Ltd.</v>
      </c>
      <c r="G440" s="29" t="s">
        <v>1706</v>
      </c>
      <c r="H440" s="29" t="s">
        <v>1709</v>
      </c>
      <c r="I440" s="29" t="s">
        <v>1710</v>
      </c>
      <c r="J440" s="64" t="str">
        <f>VLOOKUP(G440,'Vehicle List'!A:D,4,0)</f>
        <v>Ennore</v>
      </c>
      <c r="K440" s="64" t="s">
        <v>29</v>
      </c>
      <c r="L440" s="64" t="s">
        <v>19</v>
      </c>
      <c r="M440" s="64" t="s">
        <v>19</v>
      </c>
      <c r="N440" s="101">
        <v>0.34791666666666665</v>
      </c>
      <c r="O440" s="29" t="s">
        <v>1260</v>
      </c>
      <c r="P440" s="29" t="s">
        <v>21</v>
      </c>
    </row>
    <row r="441" spans="1:16">
      <c r="A441" s="29">
        <f t="shared" si="6"/>
        <v>440</v>
      </c>
      <c r="B441" s="75">
        <v>46096</v>
      </c>
      <c r="C441" s="63" t="s">
        <v>1123</v>
      </c>
      <c r="D441" s="63" t="s">
        <v>28</v>
      </c>
      <c r="E441" s="101">
        <v>0.34097222222222223</v>
      </c>
      <c r="F441" s="64" t="str">
        <f>VLOOKUP(G441,'Vehicle List'!A:C,3,0)</f>
        <v>Anisha Logistics</v>
      </c>
      <c r="G441" s="29" t="s">
        <v>486</v>
      </c>
      <c r="H441" s="29" t="s">
        <v>1297</v>
      </c>
      <c r="I441" s="29" t="s">
        <v>1296</v>
      </c>
      <c r="J441" s="64" t="str">
        <f>VLOOKUP(G441,'Vehicle List'!A:D,4,0)</f>
        <v>Bhopal</v>
      </c>
      <c r="K441" s="64" t="s">
        <v>18</v>
      </c>
      <c r="L441" s="64" t="s">
        <v>19</v>
      </c>
      <c r="M441" s="64" t="s">
        <v>20</v>
      </c>
      <c r="N441" s="101">
        <v>0.35208333333333336</v>
      </c>
      <c r="O441" s="29" t="s">
        <v>1096</v>
      </c>
      <c r="P441" s="29" t="s">
        <v>21</v>
      </c>
    </row>
    <row r="442" spans="1:16">
      <c r="A442" s="29">
        <f t="shared" si="6"/>
        <v>441</v>
      </c>
      <c r="B442" s="75">
        <v>46096</v>
      </c>
      <c r="C442" s="63" t="s">
        <v>1123</v>
      </c>
      <c r="D442" s="63" t="s">
        <v>28</v>
      </c>
      <c r="E442" s="101">
        <v>0.34722222222222221</v>
      </c>
      <c r="F442" s="64" t="str">
        <f>VLOOKUP(G442,'Vehicle List'!A:C,3,0)</f>
        <v>Chaudhary Transport</v>
      </c>
      <c r="G442" s="29" t="s">
        <v>1160</v>
      </c>
      <c r="H442" s="29" t="s">
        <v>1628</v>
      </c>
      <c r="I442" s="29" t="s">
        <v>1629</v>
      </c>
      <c r="J442" s="64" t="str">
        <f>VLOOKUP(G442,'Vehicle List'!A:D,4,0)</f>
        <v>KNCP</v>
      </c>
      <c r="K442" s="64" t="s">
        <v>29</v>
      </c>
      <c r="L442" s="64" t="s">
        <v>19</v>
      </c>
      <c r="M442" s="64" t="s">
        <v>19</v>
      </c>
      <c r="N442" s="101">
        <v>0.35416666666666669</v>
      </c>
      <c r="O442" s="29" t="s">
        <v>1182</v>
      </c>
      <c r="P442" s="29" t="s">
        <v>30</v>
      </c>
    </row>
    <row r="443" spans="1:16">
      <c r="A443" s="29">
        <f t="shared" si="6"/>
        <v>442</v>
      </c>
      <c r="B443" s="75">
        <v>46096</v>
      </c>
      <c r="C443" s="63" t="s">
        <v>1123</v>
      </c>
      <c r="D443" s="63" t="s">
        <v>28</v>
      </c>
      <c r="E443" s="101">
        <v>0.33055555555555555</v>
      </c>
      <c r="F443" s="64" t="str">
        <f>VLOOKUP(G443,'Vehicle List'!A:C,3,0)</f>
        <v>Kongunadu Roadlines</v>
      </c>
      <c r="G443" s="29" t="s">
        <v>297</v>
      </c>
      <c r="H443" s="29" t="s">
        <v>1460</v>
      </c>
      <c r="I443" s="29" t="s">
        <v>1355</v>
      </c>
      <c r="J443" s="64" t="str">
        <f>VLOOKUP(G443,'Vehicle List'!A:D,4,0)</f>
        <v>AKT</v>
      </c>
      <c r="K443" s="64" t="s">
        <v>18</v>
      </c>
      <c r="L443" s="64" t="s">
        <v>19</v>
      </c>
      <c r="M443" s="64" t="s">
        <v>20</v>
      </c>
      <c r="N443" s="101">
        <v>0.84652777777777777</v>
      </c>
      <c r="O443" s="29" t="s">
        <v>1227</v>
      </c>
      <c r="P443" s="29" t="s">
        <v>21</v>
      </c>
    </row>
    <row r="444" spans="1:16">
      <c r="A444" s="29">
        <f t="shared" si="6"/>
        <v>443</v>
      </c>
      <c r="B444" s="75">
        <v>46096</v>
      </c>
      <c r="C444" s="63" t="s">
        <v>1123</v>
      </c>
      <c r="D444" s="63" t="s">
        <v>28</v>
      </c>
      <c r="E444" s="101">
        <v>0.33055555555555555</v>
      </c>
      <c r="F444" s="64" t="str">
        <f>VLOOKUP(G444,'Vehicle List'!A:C,3,0)</f>
        <v>Kongunadu Roadlines</v>
      </c>
      <c r="G444" s="29" t="s">
        <v>297</v>
      </c>
      <c r="H444" s="29" t="s">
        <v>1460</v>
      </c>
      <c r="I444" s="29" t="s">
        <v>1355</v>
      </c>
      <c r="J444" s="64" t="str">
        <f>VLOOKUP(G444,'Vehicle List'!A:D,4,0)</f>
        <v>AKT</v>
      </c>
      <c r="K444" s="64" t="s">
        <v>1174</v>
      </c>
      <c r="L444" s="64" t="s">
        <v>19</v>
      </c>
      <c r="M444" s="64" t="s">
        <v>20</v>
      </c>
      <c r="N444" s="101">
        <v>0.84652777777777777</v>
      </c>
      <c r="O444" s="29" t="s">
        <v>1227</v>
      </c>
      <c r="P444" s="29" t="s">
        <v>21</v>
      </c>
    </row>
    <row r="445" spans="1:16">
      <c r="A445" s="29">
        <f t="shared" si="6"/>
        <v>444</v>
      </c>
      <c r="B445" s="75">
        <v>46096</v>
      </c>
      <c r="C445" s="63" t="s">
        <v>1123</v>
      </c>
      <c r="D445" s="63" t="s">
        <v>28</v>
      </c>
      <c r="E445" s="101">
        <v>0.35138888888888886</v>
      </c>
      <c r="F445" s="64" t="str">
        <f>VLOOKUP(G445,'Vehicle List'!A:C,3,0)</f>
        <v>Kongunadu Roadlines</v>
      </c>
      <c r="G445" s="29" t="s">
        <v>307</v>
      </c>
      <c r="H445" s="29" t="s">
        <v>1794</v>
      </c>
      <c r="I445" s="29" t="s">
        <v>1795</v>
      </c>
      <c r="J445" s="64" t="str">
        <f>VLOOKUP(G445,'Vehicle List'!A:D,4,0)</f>
        <v>KNCP</v>
      </c>
      <c r="K445" s="64" t="s">
        <v>26</v>
      </c>
      <c r="L445" s="64" t="s">
        <v>19</v>
      </c>
      <c r="M445" s="64" t="s">
        <v>20</v>
      </c>
      <c r="N445" s="101">
        <v>0.38541666666666669</v>
      </c>
      <c r="O445" s="29" t="s">
        <v>1286</v>
      </c>
      <c r="P445" s="29" t="s">
        <v>21</v>
      </c>
    </row>
    <row r="446" spans="1:16">
      <c r="A446" s="29">
        <f t="shared" si="6"/>
        <v>445</v>
      </c>
      <c r="B446" s="75">
        <v>46096</v>
      </c>
      <c r="C446" s="63" t="s">
        <v>1123</v>
      </c>
      <c r="D446" s="63" t="s">
        <v>28</v>
      </c>
      <c r="E446" s="101">
        <v>0.34027777777777779</v>
      </c>
      <c r="F446" s="64" t="str">
        <f>VLOOKUP(G446,'Vehicle List'!A:C,3,0)</f>
        <v>Expo Trans India Limited</v>
      </c>
      <c r="G446" s="29" t="s">
        <v>521</v>
      </c>
      <c r="H446" s="29" t="s">
        <v>1792</v>
      </c>
      <c r="I446" s="29" t="s">
        <v>1793</v>
      </c>
      <c r="J446" s="64" t="str">
        <f>VLOOKUP(G446,'Vehicle List'!A:D,4,0)</f>
        <v>Baghpat</v>
      </c>
      <c r="K446" s="64" t="s">
        <v>26</v>
      </c>
      <c r="L446" s="64" t="s">
        <v>19</v>
      </c>
      <c r="M446" s="64" t="s">
        <v>20</v>
      </c>
      <c r="N446" s="101">
        <v>0.38958333333333334</v>
      </c>
      <c r="O446" s="29" t="s">
        <v>1286</v>
      </c>
      <c r="P446" s="29" t="s">
        <v>21</v>
      </c>
    </row>
    <row r="447" spans="1:16">
      <c r="A447" s="29">
        <f t="shared" si="6"/>
        <v>446</v>
      </c>
      <c r="B447" s="75">
        <v>46096</v>
      </c>
      <c r="C447" s="63" t="s">
        <v>1123</v>
      </c>
      <c r="D447" s="63" t="s">
        <v>28</v>
      </c>
      <c r="E447" s="101">
        <v>0.36527777777777776</v>
      </c>
      <c r="F447" s="64" t="str">
        <f>VLOOKUP(G447,'Vehicle List'!A:C,3,0)</f>
        <v>Anisha Logistics</v>
      </c>
      <c r="G447" s="29" t="s">
        <v>486</v>
      </c>
      <c r="H447" s="29" t="s">
        <v>1790</v>
      </c>
      <c r="I447" s="29" t="s">
        <v>1791</v>
      </c>
      <c r="J447" s="64" t="str">
        <f>VLOOKUP(G447,'Vehicle List'!A:D,4,0)</f>
        <v>Bhopal</v>
      </c>
      <c r="K447" s="64" t="s">
        <v>18</v>
      </c>
      <c r="L447" s="64" t="s">
        <v>19</v>
      </c>
      <c r="M447" s="64" t="s">
        <v>20</v>
      </c>
      <c r="N447" s="101">
        <v>0.39097222222222222</v>
      </c>
      <c r="O447" s="29" t="s">
        <v>1096</v>
      </c>
      <c r="P447" s="29" t="s">
        <v>21</v>
      </c>
    </row>
    <row r="448" spans="1:16">
      <c r="A448" s="29">
        <f t="shared" si="6"/>
        <v>447</v>
      </c>
      <c r="B448" s="75">
        <v>46096</v>
      </c>
      <c r="C448" s="63" t="s">
        <v>27</v>
      </c>
      <c r="D448" s="63" t="s">
        <v>138</v>
      </c>
      <c r="E448" s="101">
        <v>0.42708333333333331</v>
      </c>
      <c r="F448" s="64" t="str">
        <f>VLOOKUP(G448,'Vehicle List'!A:C,3,0)</f>
        <v>Rahul Roadlines</v>
      </c>
      <c r="G448" s="29" t="s">
        <v>631</v>
      </c>
      <c r="H448" s="29" t="s">
        <v>1814</v>
      </c>
      <c r="I448" s="29" t="s">
        <v>1815</v>
      </c>
      <c r="J448" s="64" t="str">
        <f>VLOOKUP(G448,'Vehicle List'!A:D,4,0)</f>
        <v>Dahej</v>
      </c>
      <c r="K448" s="64" t="s">
        <v>18</v>
      </c>
      <c r="L448" s="64" t="s">
        <v>19</v>
      </c>
      <c r="M448" s="64" t="s">
        <v>20</v>
      </c>
      <c r="N448" s="101">
        <v>0.44444444444444442</v>
      </c>
      <c r="O448" s="29" t="s">
        <v>1124</v>
      </c>
      <c r="P448" s="29" t="s">
        <v>21</v>
      </c>
    </row>
    <row r="449" spans="1:16">
      <c r="A449" s="29">
        <f t="shared" si="6"/>
        <v>448</v>
      </c>
      <c r="B449" s="75">
        <v>46096</v>
      </c>
      <c r="C449" s="63" t="s">
        <v>1123</v>
      </c>
      <c r="D449" s="63" t="s">
        <v>28</v>
      </c>
      <c r="E449" s="101">
        <v>0.46527777777777779</v>
      </c>
      <c r="F449" s="64" t="str">
        <f>VLOOKUP(G449,'Vehicle List'!A:C,3,0)</f>
        <v>Kongunadu Roadlines</v>
      </c>
      <c r="G449" s="29" t="s">
        <v>99</v>
      </c>
      <c r="H449" s="29" t="s">
        <v>1200</v>
      </c>
      <c r="I449" s="29" t="s">
        <v>1199</v>
      </c>
      <c r="J449" s="64" t="str">
        <f>VLOOKUP(G449,'Vehicle List'!A:D,4,0)</f>
        <v>Ennore</v>
      </c>
      <c r="K449" s="64" t="s">
        <v>29</v>
      </c>
      <c r="L449" s="64" t="s">
        <v>19</v>
      </c>
      <c r="M449" s="64" t="s">
        <v>19</v>
      </c>
      <c r="N449" s="101">
        <v>0.46944444444444444</v>
      </c>
      <c r="O449" s="29" t="s">
        <v>1700</v>
      </c>
      <c r="P449" s="29" t="s">
        <v>30</v>
      </c>
    </row>
    <row r="450" spans="1:16">
      <c r="A450" s="29">
        <f t="shared" si="6"/>
        <v>449</v>
      </c>
      <c r="B450" s="75">
        <v>46096</v>
      </c>
      <c r="C450" s="63" t="s">
        <v>27</v>
      </c>
      <c r="D450" s="63" t="s">
        <v>138</v>
      </c>
      <c r="E450" s="101">
        <v>0.55972222222222223</v>
      </c>
      <c r="F450" s="64" t="str">
        <f>VLOOKUP(G450,'Vehicle List'!A:C,3,0)</f>
        <v>Rahul Roadlines</v>
      </c>
      <c r="G450" s="29" t="s">
        <v>608</v>
      </c>
      <c r="H450" s="29" t="s">
        <v>1043</v>
      </c>
      <c r="I450" s="29" t="s">
        <v>1044</v>
      </c>
      <c r="J450" s="64" t="str">
        <f>VLOOKUP(G450,'Vehicle List'!A:D,4,0)</f>
        <v>Ennore</v>
      </c>
      <c r="K450" s="64" t="s">
        <v>29</v>
      </c>
      <c r="L450" s="64" t="s">
        <v>19</v>
      </c>
      <c r="M450" s="64" t="s">
        <v>19</v>
      </c>
      <c r="N450" s="101">
        <v>0.55972222222222223</v>
      </c>
      <c r="O450" s="29" t="s">
        <v>1813</v>
      </c>
      <c r="P450" s="29" t="s">
        <v>21</v>
      </c>
    </row>
    <row r="451" spans="1:16">
      <c r="A451" s="29">
        <f t="shared" si="6"/>
        <v>450</v>
      </c>
      <c r="B451" s="75">
        <v>46096</v>
      </c>
      <c r="C451" s="63" t="s">
        <v>27</v>
      </c>
      <c r="D451" s="63" t="s">
        <v>138</v>
      </c>
      <c r="E451" s="101">
        <v>0.56111111111111112</v>
      </c>
      <c r="F451" s="64" t="str">
        <f>VLOOKUP(G451,'Vehicle List'!A:C,3,0)</f>
        <v>Rahul Roadlines</v>
      </c>
      <c r="G451" s="29" t="s">
        <v>65</v>
      </c>
      <c r="H451" s="29" t="s">
        <v>1538</v>
      </c>
      <c r="I451" s="29" t="s">
        <v>1539</v>
      </c>
      <c r="J451" s="64" t="str">
        <f>VLOOKUP(G451,'Vehicle List'!A:D,4,0)</f>
        <v>Ennore</v>
      </c>
      <c r="K451" s="64" t="s">
        <v>29</v>
      </c>
      <c r="L451" s="64" t="s">
        <v>19</v>
      </c>
      <c r="M451" s="64" t="s">
        <v>19</v>
      </c>
      <c r="N451" s="101">
        <v>0.56111111111111112</v>
      </c>
      <c r="O451" s="29" t="s">
        <v>1224</v>
      </c>
      <c r="P451" s="29" t="s">
        <v>30</v>
      </c>
    </row>
    <row r="452" spans="1:16">
      <c r="A452" s="29">
        <f t="shared" si="6"/>
        <v>451</v>
      </c>
      <c r="B452" s="75">
        <v>46096</v>
      </c>
      <c r="C452" s="63" t="s">
        <v>1268</v>
      </c>
      <c r="D452" s="63" t="s">
        <v>39</v>
      </c>
      <c r="E452" s="101">
        <v>0.60138888888888886</v>
      </c>
      <c r="F452" s="64" t="str">
        <f>VLOOKUP(G452,'Vehicle List'!A:C,3,0)</f>
        <v>Gas Point</v>
      </c>
      <c r="G452" s="29" t="s">
        <v>499</v>
      </c>
      <c r="H452" s="29" t="s">
        <v>1480</v>
      </c>
      <c r="I452" s="29" t="s">
        <v>1479</v>
      </c>
      <c r="J452" s="64" t="str">
        <f>VLOOKUP(G452,'Vehicle List'!A:D,4,0)</f>
        <v>Bhopal</v>
      </c>
      <c r="K452" s="64" t="s">
        <v>29</v>
      </c>
      <c r="L452" s="64" t="s">
        <v>19</v>
      </c>
      <c r="M452" s="64" t="s">
        <v>19</v>
      </c>
      <c r="N452" s="101">
        <v>0.60138888888888886</v>
      </c>
      <c r="O452" s="29" t="s">
        <v>1315</v>
      </c>
      <c r="P452" s="29" t="s">
        <v>30</v>
      </c>
    </row>
    <row r="453" spans="1:16">
      <c r="A453" s="29">
        <f t="shared" ref="A453:A516" si="7">A452+1</f>
        <v>452</v>
      </c>
      <c r="B453" s="75">
        <v>46096</v>
      </c>
      <c r="C453" s="63" t="s">
        <v>1268</v>
      </c>
      <c r="D453" s="63" t="s">
        <v>39</v>
      </c>
      <c r="E453" s="101">
        <v>0.60416666666666663</v>
      </c>
      <c r="F453" s="64" t="str">
        <f>VLOOKUP(G453,'Vehicle List'!A:C,3,0)</f>
        <v>Anisha Logistics</v>
      </c>
      <c r="G453" s="29" t="s">
        <v>486</v>
      </c>
      <c r="H453" s="29" t="s">
        <v>1297</v>
      </c>
      <c r="I453" s="29" t="s">
        <v>1296</v>
      </c>
      <c r="J453" s="64" t="str">
        <f>VLOOKUP(G453,'Vehicle List'!A:D,4,0)</f>
        <v>Bhopal</v>
      </c>
      <c r="K453" s="64" t="s">
        <v>29</v>
      </c>
      <c r="L453" s="64" t="s">
        <v>19</v>
      </c>
      <c r="M453" s="64" t="s">
        <v>19</v>
      </c>
      <c r="N453" s="101">
        <v>0.60416666666666663</v>
      </c>
      <c r="O453" s="29" t="s">
        <v>1474</v>
      </c>
      <c r="P453" s="29" t="s">
        <v>30</v>
      </c>
    </row>
    <row r="454" spans="1:16">
      <c r="A454" s="29">
        <f t="shared" si="7"/>
        <v>453</v>
      </c>
      <c r="B454" s="75">
        <v>46096</v>
      </c>
      <c r="C454" s="63" t="s">
        <v>1268</v>
      </c>
      <c r="D454" s="63" t="s">
        <v>39</v>
      </c>
      <c r="E454" s="101">
        <v>0.60347222222222219</v>
      </c>
      <c r="F454" s="64" t="str">
        <f>VLOOKUP(G454,'Vehicle List'!A:C,3,0)</f>
        <v>Anmol Transport</v>
      </c>
      <c r="G454" s="29" t="s">
        <v>548</v>
      </c>
      <c r="H454" s="29" t="s">
        <v>1811</v>
      </c>
      <c r="I454" s="29" t="s">
        <v>1812</v>
      </c>
      <c r="J454" s="64" t="str">
        <f>VLOOKUP(G454,'Vehicle List'!A:D,4,0)</f>
        <v>Baghpat</v>
      </c>
      <c r="K454" s="64" t="s">
        <v>26</v>
      </c>
      <c r="L454" s="64" t="s">
        <v>19</v>
      </c>
      <c r="M454" s="64" t="s">
        <v>20</v>
      </c>
      <c r="N454" s="101">
        <v>0.62569444444444444</v>
      </c>
      <c r="O454" s="29" t="s">
        <v>1632</v>
      </c>
      <c r="P454" s="29" t="s">
        <v>21</v>
      </c>
    </row>
    <row r="455" spans="1:16">
      <c r="A455" s="29">
        <f t="shared" si="7"/>
        <v>454</v>
      </c>
      <c r="B455" s="75">
        <v>46096</v>
      </c>
      <c r="C455" s="63" t="s">
        <v>1268</v>
      </c>
      <c r="D455" s="63" t="s">
        <v>39</v>
      </c>
      <c r="E455" s="101">
        <v>0.61805555555555558</v>
      </c>
      <c r="F455" s="64" t="str">
        <f>VLOOKUP(G455,'Vehicle List'!A:C,3,0)</f>
        <v>Kongunadu Roadlines</v>
      </c>
      <c r="G455" s="29" t="s">
        <v>314</v>
      </c>
      <c r="H455" s="29" t="s">
        <v>1186</v>
      </c>
      <c r="I455" s="29" t="s">
        <v>1185</v>
      </c>
      <c r="J455" s="64" t="str">
        <f>VLOOKUP(G455,'Vehicle List'!A:D,4,0)</f>
        <v>KNCP</v>
      </c>
      <c r="K455" s="64" t="s">
        <v>29</v>
      </c>
      <c r="L455" s="64" t="s">
        <v>19</v>
      </c>
      <c r="M455" s="64" t="s">
        <v>19</v>
      </c>
      <c r="N455" s="101">
        <v>0.61805555555555558</v>
      </c>
      <c r="O455" s="29" t="s">
        <v>1182</v>
      </c>
      <c r="P455" s="29" t="s">
        <v>30</v>
      </c>
    </row>
    <row r="456" spans="1:16">
      <c r="A456" s="29">
        <f t="shared" si="7"/>
        <v>455</v>
      </c>
      <c r="B456" s="75">
        <v>46096</v>
      </c>
      <c r="C456" s="63" t="s">
        <v>1268</v>
      </c>
      <c r="D456" s="63" t="s">
        <v>39</v>
      </c>
      <c r="E456" s="101">
        <v>0.62222222222222223</v>
      </c>
      <c r="F456" s="64" t="str">
        <f>VLOOKUP(G456,'Vehicle List'!A:C,3,0)</f>
        <v>Dhinesh Transports</v>
      </c>
      <c r="G456" s="29" t="s">
        <v>411</v>
      </c>
      <c r="H456" s="29" t="s">
        <v>1809</v>
      </c>
      <c r="I456" s="29" t="s">
        <v>1810</v>
      </c>
      <c r="J456" s="64" t="str">
        <f>VLOOKUP(G456,'Vehicle List'!A:D,4,0)</f>
        <v>CHK</v>
      </c>
      <c r="K456" s="64" t="s">
        <v>29</v>
      </c>
      <c r="L456" s="64" t="s">
        <v>19</v>
      </c>
      <c r="M456" s="64" t="s">
        <v>19</v>
      </c>
      <c r="N456" s="101">
        <v>0.62222222222222223</v>
      </c>
      <c r="O456" s="29" t="s">
        <v>1721</v>
      </c>
      <c r="P456" s="29" t="s">
        <v>30</v>
      </c>
    </row>
    <row r="457" spans="1:16">
      <c r="A457" s="29">
        <f t="shared" si="7"/>
        <v>456</v>
      </c>
      <c r="B457" s="75">
        <v>46096</v>
      </c>
      <c r="C457" s="63" t="s">
        <v>27</v>
      </c>
      <c r="D457" s="63" t="s">
        <v>138</v>
      </c>
      <c r="E457" s="101">
        <v>0.62638888888888888</v>
      </c>
      <c r="F457" s="64" t="str">
        <f>VLOOKUP(G457,'Vehicle List'!A:C,3,0)</f>
        <v>Kongunadu Roadlines</v>
      </c>
      <c r="G457" s="29" t="s">
        <v>318</v>
      </c>
      <c r="H457" s="29" t="s">
        <v>1190</v>
      </c>
      <c r="I457" s="29" t="s">
        <v>1191</v>
      </c>
      <c r="J457" s="64" t="str">
        <f>VLOOKUP(G457,'Vehicle List'!A:D,4,0)</f>
        <v>KNCP</v>
      </c>
      <c r="K457" s="64" t="s">
        <v>29</v>
      </c>
      <c r="L457" s="64" t="s">
        <v>19</v>
      </c>
      <c r="M457" s="64" t="s">
        <v>19</v>
      </c>
      <c r="N457" s="101">
        <v>0.62638888888888888</v>
      </c>
      <c r="O457" s="29" t="s">
        <v>1331</v>
      </c>
      <c r="P457" s="29" t="s">
        <v>30</v>
      </c>
    </row>
    <row r="458" spans="1:16">
      <c r="A458" s="29">
        <f t="shared" si="7"/>
        <v>457</v>
      </c>
      <c r="B458" s="75">
        <v>46096</v>
      </c>
      <c r="C458" s="63" t="s">
        <v>1268</v>
      </c>
      <c r="D458" s="63" t="s">
        <v>39</v>
      </c>
      <c r="E458" s="101">
        <v>0.69097222222222221</v>
      </c>
      <c r="F458" s="64" t="str">
        <f>VLOOKUP(G458,'Vehicle List'!A:C,3,0)</f>
        <v>Rahul Roadlines</v>
      </c>
      <c r="G458" s="29" t="s">
        <v>43</v>
      </c>
      <c r="H458" s="29" t="s">
        <v>1662</v>
      </c>
      <c r="I458" s="29" t="s">
        <v>1663</v>
      </c>
      <c r="J458" s="64" t="str">
        <f>VLOOKUP(G458,'Vehicle List'!A:D,4,0)</f>
        <v>ANK</v>
      </c>
      <c r="K458" s="64" t="s">
        <v>29</v>
      </c>
      <c r="L458" s="64" t="s">
        <v>19</v>
      </c>
      <c r="M458" s="64" t="s">
        <v>19</v>
      </c>
      <c r="N458" s="101">
        <v>0.69097222222222221</v>
      </c>
      <c r="O458" s="29" t="s">
        <v>1284</v>
      </c>
      <c r="P458" s="29" t="s">
        <v>21</v>
      </c>
    </row>
    <row r="459" spans="1:16">
      <c r="A459" s="29">
        <f t="shared" si="7"/>
        <v>458</v>
      </c>
      <c r="B459" s="75">
        <v>46096</v>
      </c>
      <c r="C459" s="63" t="s">
        <v>1268</v>
      </c>
      <c r="D459" s="63" t="s">
        <v>39</v>
      </c>
      <c r="E459" s="101">
        <v>0.71666666666666667</v>
      </c>
      <c r="F459" s="64" t="str">
        <f>VLOOKUP(G459,'Vehicle List'!A:C,3,0)</f>
        <v>Anmol Transport</v>
      </c>
      <c r="G459" s="29" t="s">
        <v>557</v>
      </c>
      <c r="H459" s="29" t="s">
        <v>1807</v>
      </c>
      <c r="I459" s="29" t="s">
        <v>1808</v>
      </c>
      <c r="J459" s="64" t="str">
        <f>VLOOKUP(G459,'Vehicle List'!A:D,4,0)</f>
        <v>Jalandhar</v>
      </c>
      <c r="K459" s="64" t="s">
        <v>29</v>
      </c>
      <c r="L459" s="64" t="s">
        <v>19</v>
      </c>
      <c r="M459" s="64" t="s">
        <v>19</v>
      </c>
      <c r="N459" s="101">
        <v>0.71666666666666667</v>
      </c>
      <c r="O459" s="29" t="s">
        <v>1315</v>
      </c>
      <c r="P459" s="29" t="s">
        <v>30</v>
      </c>
    </row>
    <row r="460" spans="1:16">
      <c r="A460" s="29">
        <f t="shared" si="7"/>
        <v>459</v>
      </c>
      <c r="B460" s="75">
        <v>46096</v>
      </c>
      <c r="C460" s="63" t="s">
        <v>1268</v>
      </c>
      <c r="D460" s="63" t="s">
        <v>39</v>
      </c>
      <c r="E460" s="101">
        <v>0.75486111111111109</v>
      </c>
      <c r="F460" s="64" t="str">
        <f>VLOOKUP(G460,'Vehicle List'!A:C,3,0)</f>
        <v>Expo Trans India Limited</v>
      </c>
      <c r="G460" s="29" t="s">
        <v>97</v>
      </c>
      <c r="H460" s="29" t="s">
        <v>1805</v>
      </c>
      <c r="I460" s="29" t="s">
        <v>1806</v>
      </c>
      <c r="J460" s="64" t="str">
        <f>VLOOKUP(G460,'Vehicle List'!A:D,4,0)</f>
        <v>Vellore</v>
      </c>
      <c r="K460" s="64" t="s">
        <v>29</v>
      </c>
      <c r="L460" s="64" t="s">
        <v>19</v>
      </c>
      <c r="M460" s="64" t="s">
        <v>19</v>
      </c>
      <c r="N460" s="101">
        <v>0.75486111111111109</v>
      </c>
      <c r="O460" s="29" t="s">
        <v>1224</v>
      </c>
      <c r="P460" s="29" t="s">
        <v>30</v>
      </c>
    </row>
    <row r="461" spans="1:16">
      <c r="A461" s="29">
        <f t="shared" si="7"/>
        <v>460</v>
      </c>
      <c r="B461" s="75">
        <v>46096</v>
      </c>
      <c r="C461" s="63" t="s">
        <v>1268</v>
      </c>
      <c r="D461" s="63" t="s">
        <v>39</v>
      </c>
      <c r="E461" s="101">
        <v>0.76458333333333328</v>
      </c>
      <c r="F461" s="64" t="str">
        <f>VLOOKUP(G461,'Vehicle List'!A:C,3,0)</f>
        <v>Expo Trans India Limited</v>
      </c>
      <c r="G461" s="29" t="s">
        <v>521</v>
      </c>
      <c r="H461" s="29" t="s">
        <v>1792</v>
      </c>
      <c r="I461" s="29" t="s">
        <v>1793</v>
      </c>
      <c r="J461" s="64" t="str">
        <f>VLOOKUP(G461,'Vehicle List'!A:D,4,0)</f>
        <v>Baghpat</v>
      </c>
      <c r="K461" s="64" t="s">
        <v>29</v>
      </c>
      <c r="L461" s="64" t="s">
        <v>19</v>
      </c>
      <c r="M461" s="64" t="s">
        <v>19</v>
      </c>
      <c r="N461" s="101">
        <v>0.76458333333333328</v>
      </c>
      <c r="O461" s="29" t="s">
        <v>1474</v>
      </c>
      <c r="P461" s="29" t="s">
        <v>30</v>
      </c>
    </row>
    <row r="462" spans="1:16">
      <c r="A462" s="29">
        <f t="shared" si="7"/>
        <v>461</v>
      </c>
      <c r="B462" s="75">
        <v>46096</v>
      </c>
      <c r="C462" s="63" t="s">
        <v>1268</v>
      </c>
      <c r="D462" s="63" t="s">
        <v>39</v>
      </c>
      <c r="E462" s="101">
        <v>0.78611111111111109</v>
      </c>
      <c r="F462" s="64" t="str">
        <f>VLOOKUP(G462,'Vehicle List'!A:C,3,0)</f>
        <v>Anisha Logistics</v>
      </c>
      <c r="G462" s="29" t="s">
        <v>508</v>
      </c>
      <c r="H462" s="29" t="s">
        <v>1803</v>
      </c>
      <c r="I462" s="29" t="s">
        <v>1804</v>
      </c>
      <c r="J462" s="64" t="str">
        <f>VLOOKUP(G462,'Vehicle List'!A:D,4,0)</f>
        <v>Jalandhar</v>
      </c>
      <c r="K462" s="64" t="s">
        <v>29</v>
      </c>
      <c r="L462" s="64" t="s">
        <v>19</v>
      </c>
      <c r="M462" s="64" t="s">
        <v>19</v>
      </c>
      <c r="N462" s="101">
        <v>0.78611111111111109</v>
      </c>
      <c r="O462" s="29" t="s">
        <v>1182</v>
      </c>
      <c r="P462" s="29" t="s">
        <v>30</v>
      </c>
    </row>
    <row r="463" spans="1:16">
      <c r="A463" s="29">
        <f t="shared" si="7"/>
        <v>462</v>
      </c>
      <c r="B463" s="75">
        <v>46096</v>
      </c>
      <c r="C463" s="63" t="s">
        <v>1268</v>
      </c>
      <c r="D463" s="63" t="s">
        <v>39</v>
      </c>
      <c r="E463" s="101">
        <v>0.79861111111111116</v>
      </c>
      <c r="F463" s="64" t="str">
        <f>VLOOKUP(G463,'Vehicle List'!A:C,3,0)</f>
        <v>Kongunadu Roadlines</v>
      </c>
      <c r="G463" s="29" t="s">
        <v>460</v>
      </c>
      <c r="H463" s="29" t="s">
        <v>1789</v>
      </c>
      <c r="I463" s="29" t="s">
        <v>1788</v>
      </c>
      <c r="J463" s="64" t="s">
        <v>310</v>
      </c>
      <c r="K463" s="64" t="s">
        <v>29</v>
      </c>
      <c r="L463" s="64" t="s">
        <v>19</v>
      </c>
      <c r="M463" s="64" t="s">
        <v>19</v>
      </c>
      <c r="N463" s="101">
        <v>0.79861111111111116</v>
      </c>
      <c r="O463" s="29" t="s">
        <v>1182</v>
      </c>
      <c r="P463" s="29" t="s">
        <v>30</v>
      </c>
    </row>
    <row r="464" spans="1:16">
      <c r="A464" s="29">
        <f t="shared" si="7"/>
        <v>463</v>
      </c>
      <c r="B464" s="75">
        <v>46096</v>
      </c>
      <c r="C464" s="63" t="s">
        <v>1268</v>
      </c>
      <c r="D464" s="63" t="s">
        <v>39</v>
      </c>
      <c r="E464" s="101">
        <v>0.85277777777777775</v>
      </c>
      <c r="F464" s="64" t="str">
        <f>VLOOKUP(G464,'Vehicle List'!A:C,3,0)</f>
        <v>Anisha Logistics</v>
      </c>
      <c r="G464" s="29" t="s">
        <v>480</v>
      </c>
      <c r="H464" s="29" t="s">
        <v>1292</v>
      </c>
      <c r="I464" s="29" t="s">
        <v>1291</v>
      </c>
      <c r="J464" s="64" t="str">
        <f>VLOOKUP(G464,'Vehicle List'!A:D,4,0)</f>
        <v>Bhopal</v>
      </c>
      <c r="K464" s="64" t="s">
        <v>29</v>
      </c>
      <c r="L464" s="64" t="s">
        <v>19</v>
      </c>
      <c r="M464" s="64" t="s">
        <v>19</v>
      </c>
      <c r="N464" s="101">
        <v>0.85277777777777775</v>
      </c>
      <c r="O464" s="29" t="s">
        <v>1645</v>
      </c>
      <c r="P464" s="29" t="s">
        <v>30</v>
      </c>
    </row>
    <row r="465" spans="1:16">
      <c r="A465" s="29">
        <f t="shared" si="7"/>
        <v>464</v>
      </c>
      <c r="B465" s="75">
        <v>46096</v>
      </c>
      <c r="C465" s="63" t="s">
        <v>85</v>
      </c>
      <c r="D465" s="63" t="s">
        <v>16</v>
      </c>
      <c r="E465" s="101">
        <v>0.92569444444444449</v>
      </c>
      <c r="F465" s="64" t="str">
        <f>VLOOKUP(G465,'Vehicle List'!A:C,3,0)</f>
        <v>Rahul Roadlines</v>
      </c>
      <c r="G465" s="29" t="s">
        <v>583</v>
      </c>
      <c r="H465" s="29" t="s">
        <v>1821</v>
      </c>
      <c r="I465" s="29" t="s">
        <v>1822</v>
      </c>
      <c r="J465" s="64" t="str">
        <f>VLOOKUP(G465,'Vehicle List'!A:D,4,0)</f>
        <v>UHS</v>
      </c>
      <c r="K465" s="64" t="s">
        <v>29</v>
      </c>
      <c r="L465" s="64" t="s">
        <v>19</v>
      </c>
      <c r="M465" s="64" t="s">
        <v>19</v>
      </c>
      <c r="N465" s="101">
        <v>0.92569444444444449</v>
      </c>
      <c r="O465" s="29" t="s">
        <v>1673</v>
      </c>
      <c r="P465" s="29" t="s">
        <v>21</v>
      </c>
    </row>
    <row r="466" spans="1:16">
      <c r="A466" s="29">
        <f t="shared" si="7"/>
        <v>465</v>
      </c>
      <c r="B466" s="75">
        <v>46096</v>
      </c>
      <c r="C466" s="63" t="s">
        <v>85</v>
      </c>
      <c r="D466" s="63" t="s">
        <v>16</v>
      </c>
      <c r="E466" s="101">
        <v>0.92083333333333328</v>
      </c>
      <c r="F466" s="64" t="str">
        <f>VLOOKUP(G466,'Vehicle List'!A:C,3,0)</f>
        <v>Sritransways Logistics</v>
      </c>
      <c r="G466" s="29" t="s">
        <v>381</v>
      </c>
      <c r="H466" s="29" t="s">
        <v>1816</v>
      </c>
      <c r="I466" s="29" t="s">
        <v>1817</v>
      </c>
      <c r="J466" s="64" t="str">
        <f>VLOOKUP(G466,'Vehicle List'!A:D,4,0)</f>
        <v>AKT</v>
      </c>
      <c r="K466" s="64" t="s">
        <v>1174</v>
      </c>
      <c r="L466" s="64" t="s">
        <v>19</v>
      </c>
      <c r="M466" s="64" t="s">
        <v>20</v>
      </c>
      <c r="N466" s="101">
        <v>5.0694444444444445E-2</v>
      </c>
      <c r="O466" s="29" t="s">
        <v>1227</v>
      </c>
      <c r="P466" s="29" t="s">
        <v>21</v>
      </c>
    </row>
    <row r="467" spans="1:16">
      <c r="A467" s="29">
        <f t="shared" si="7"/>
        <v>466</v>
      </c>
      <c r="B467" s="75">
        <v>46096</v>
      </c>
      <c r="C467" s="63" t="s">
        <v>85</v>
      </c>
      <c r="D467" s="63" t="s">
        <v>16</v>
      </c>
      <c r="E467" s="101">
        <v>0.93194444444444446</v>
      </c>
      <c r="F467" s="64" t="str">
        <f>VLOOKUP(G467,'Vehicle List'!A:C,3,0)</f>
        <v>Sritransways Logistics</v>
      </c>
      <c r="G467" s="29" t="s">
        <v>386</v>
      </c>
      <c r="H467" s="29" t="s">
        <v>1607</v>
      </c>
      <c r="I467" s="29" t="s">
        <v>1606</v>
      </c>
      <c r="J467" s="64" t="str">
        <f>VLOOKUP(G467,'Vehicle List'!A:D,4,0)</f>
        <v>AKT</v>
      </c>
      <c r="K467" s="64" t="s">
        <v>26</v>
      </c>
      <c r="L467" s="64" t="s">
        <v>19</v>
      </c>
      <c r="M467" s="64" t="s">
        <v>20</v>
      </c>
      <c r="N467" s="101">
        <v>0.94236111111111109</v>
      </c>
      <c r="O467" s="29" t="s">
        <v>1227</v>
      </c>
      <c r="P467" s="29" t="s">
        <v>21</v>
      </c>
    </row>
    <row r="468" spans="1:16">
      <c r="A468" s="29">
        <f t="shared" si="7"/>
        <v>467</v>
      </c>
      <c r="B468" s="75">
        <v>46096</v>
      </c>
      <c r="C468" s="63" t="s">
        <v>85</v>
      </c>
      <c r="D468" s="63" t="s">
        <v>16</v>
      </c>
      <c r="E468" s="101">
        <v>0.97986111111111107</v>
      </c>
      <c r="F468" s="64" t="str">
        <f>VLOOKUP(G468,'Vehicle List'!A:C,3,0)</f>
        <v>Chaudhary Transport</v>
      </c>
      <c r="G468" s="29" t="s">
        <v>575</v>
      </c>
      <c r="H468" s="29" t="s">
        <v>1823</v>
      </c>
      <c r="I468" s="29" t="s">
        <v>1824</v>
      </c>
      <c r="J468" s="64" t="str">
        <f>VLOOKUP(G468,'Vehicle List'!A:D,4,0)</f>
        <v>KNCP</v>
      </c>
      <c r="K468" s="64" t="s">
        <v>1171</v>
      </c>
      <c r="L468" s="64" t="s">
        <v>19</v>
      </c>
      <c r="M468" s="64" t="s">
        <v>20</v>
      </c>
      <c r="N468" s="101">
        <v>8.6805555555555552E-2</v>
      </c>
      <c r="O468" s="29" t="s">
        <v>1286</v>
      </c>
      <c r="P468" s="29" t="s">
        <v>21</v>
      </c>
    </row>
    <row r="469" spans="1:16">
      <c r="A469" s="29">
        <f t="shared" si="7"/>
        <v>468</v>
      </c>
      <c r="B469" s="75">
        <v>46096</v>
      </c>
      <c r="C469" s="63" t="s">
        <v>85</v>
      </c>
      <c r="D469" s="63" t="s">
        <v>16</v>
      </c>
      <c r="E469" s="101">
        <v>0.99444444444444446</v>
      </c>
      <c r="F469" s="64" t="str">
        <f>VLOOKUP(G469,'Vehicle List'!A:C,3,0)</f>
        <v>Expo Trans India Limited</v>
      </c>
      <c r="G469" s="29" t="s">
        <v>537</v>
      </c>
      <c r="H469" s="29" t="s">
        <v>1818</v>
      </c>
      <c r="I469" s="29" t="s">
        <v>1819</v>
      </c>
      <c r="J469" s="64" t="str">
        <f>VLOOKUP(G469,'Vehicle List'!A:D,4,0)</f>
        <v>Jalandhar</v>
      </c>
      <c r="K469" s="64" t="s">
        <v>1171</v>
      </c>
      <c r="L469" s="64" t="s">
        <v>19</v>
      </c>
      <c r="M469" s="64" t="s">
        <v>20</v>
      </c>
      <c r="N469" s="101">
        <v>6.1805555555555558E-2</v>
      </c>
      <c r="O469" s="29" t="s">
        <v>1204</v>
      </c>
      <c r="P469" s="29" t="s">
        <v>21</v>
      </c>
    </row>
    <row r="470" spans="1:16">
      <c r="A470" s="29">
        <f t="shared" si="7"/>
        <v>469</v>
      </c>
      <c r="B470" s="75">
        <v>46097</v>
      </c>
      <c r="C470" s="63" t="s">
        <v>85</v>
      </c>
      <c r="D470" s="63" t="s">
        <v>16</v>
      </c>
      <c r="E470" s="101">
        <v>1.7361111111111112E-2</v>
      </c>
      <c r="F470" s="64" t="str">
        <f>VLOOKUP(G470,'Vehicle List'!A:C,3,0)</f>
        <v>Oraya Gas India Pvt.Ltd.</v>
      </c>
      <c r="G470" s="29" t="s">
        <v>45</v>
      </c>
      <c r="H470" s="29" t="s">
        <v>1820</v>
      </c>
      <c r="I470" s="29" t="s">
        <v>1277</v>
      </c>
      <c r="J470" s="64" t="str">
        <f>VLOOKUP(G470,'Vehicle List'!A:D,4,0)</f>
        <v>Kochi</v>
      </c>
      <c r="K470" s="64" t="s">
        <v>24</v>
      </c>
      <c r="L470" s="64" t="s">
        <v>19</v>
      </c>
      <c r="M470" s="64" t="s">
        <v>20</v>
      </c>
      <c r="N470" s="101">
        <v>7.2222222222222215E-2</v>
      </c>
      <c r="O470" s="29" t="s">
        <v>1244</v>
      </c>
      <c r="P470" s="29" t="s">
        <v>21</v>
      </c>
    </row>
    <row r="471" spans="1:16">
      <c r="A471" s="29">
        <f t="shared" si="7"/>
        <v>470</v>
      </c>
      <c r="B471" s="75">
        <v>46097</v>
      </c>
      <c r="C471" s="63" t="s">
        <v>85</v>
      </c>
      <c r="D471" s="63" t="s">
        <v>16</v>
      </c>
      <c r="E471" s="101">
        <v>0.25208333333333333</v>
      </c>
      <c r="F471" s="64" t="str">
        <f>VLOOKUP(G471,'Vehicle List'!A:C,3,0)</f>
        <v>Expo Trans India Limited</v>
      </c>
      <c r="G471" s="29" t="s">
        <v>304</v>
      </c>
      <c r="H471" s="29" t="s">
        <v>1485</v>
      </c>
      <c r="I471" s="29" t="s">
        <v>1484</v>
      </c>
      <c r="J471" s="64" t="str">
        <f>VLOOKUP(G471,'Vehicle List'!A:D,4,0)</f>
        <v>ANK</v>
      </c>
      <c r="K471" s="64" t="s">
        <v>29</v>
      </c>
      <c r="L471" s="64" t="s">
        <v>19</v>
      </c>
      <c r="M471" s="64" t="s">
        <v>19</v>
      </c>
      <c r="N471" s="101">
        <v>0.25208333333333333</v>
      </c>
      <c r="O471" s="29" t="s">
        <v>1645</v>
      </c>
      <c r="P471" s="29" t="s">
        <v>30</v>
      </c>
    </row>
    <row r="472" spans="1:16">
      <c r="A472" s="29">
        <f t="shared" si="7"/>
        <v>471</v>
      </c>
      <c r="B472" s="75">
        <v>46097</v>
      </c>
      <c r="C472" s="63" t="s">
        <v>27</v>
      </c>
      <c r="D472" s="63" t="s">
        <v>28</v>
      </c>
      <c r="E472" s="101">
        <v>0.2722222222222222</v>
      </c>
      <c r="F472" s="64" t="str">
        <f>VLOOKUP(G472,'Vehicle List'!A:C,3,0)</f>
        <v>Rahul Roadlines</v>
      </c>
      <c r="G472" s="29" t="s">
        <v>1095</v>
      </c>
      <c r="H472" s="29" t="s">
        <v>1767</v>
      </c>
      <c r="I472" s="29" t="s">
        <v>1826</v>
      </c>
      <c r="J472" s="64" t="str">
        <f>VLOOKUP(G472,'Vehicle List'!A:D,4,0)</f>
        <v>KNCP</v>
      </c>
      <c r="K472" s="64" t="s">
        <v>29</v>
      </c>
      <c r="L472" s="64" t="s">
        <v>19</v>
      </c>
      <c r="M472" s="64" t="s">
        <v>19</v>
      </c>
      <c r="N472" s="101">
        <v>0.2722222222222222</v>
      </c>
      <c r="O472" s="29" t="s">
        <v>1645</v>
      </c>
      <c r="P472" s="29" t="s">
        <v>30</v>
      </c>
    </row>
    <row r="473" spans="1:16">
      <c r="A473" s="29">
        <f t="shared" si="7"/>
        <v>472</v>
      </c>
      <c r="B473" s="75">
        <v>46097</v>
      </c>
      <c r="C473" s="63" t="s">
        <v>27</v>
      </c>
      <c r="D473" s="63" t="s">
        <v>28</v>
      </c>
      <c r="E473" s="101">
        <v>0.28263888888888888</v>
      </c>
      <c r="F473" s="64" t="str">
        <f>VLOOKUP(G473,'Vehicle List'!A:C,3,0)</f>
        <v>Rahul Roadlines</v>
      </c>
      <c r="G473" s="29" t="s">
        <v>616</v>
      </c>
      <c r="H473" s="29" t="s">
        <v>1334</v>
      </c>
      <c r="I473" s="29" t="s">
        <v>1333</v>
      </c>
      <c r="J473" s="64" t="str">
        <f>VLOOKUP(G473,'Vehicle List'!A:D,4,0)</f>
        <v>Kochi</v>
      </c>
      <c r="K473" s="64" t="s">
        <v>29</v>
      </c>
      <c r="L473" s="64" t="s">
        <v>19</v>
      </c>
      <c r="M473" s="64" t="s">
        <v>19</v>
      </c>
      <c r="N473" s="101">
        <v>0.28263888888888888</v>
      </c>
      <c r="O473" s="29" t="s">
        <v>1315</v>
      </c>
      <c r="P473" s="29" t="s">
        <v>30</v>
      </c>
    </row>
    <row r="474" spans="1:16">
      <c r="A474" s="29">
        <f t="shared" si="7"/>
        <v>473</v>
      </c>
      <c r="B474" s="75">
        <v>46097</v>
      </c>
      <c r="C474" s="63" t="s">
        <v>27</v>
      </c>
      <c r="D474" s="63" t="s">
        <v>28</v>
      </c>
      <c r="E474" s="101">
        <v>0.31388888888888888</v>
      </c>
      <c r="F474" s="64" t="str">
        <f>VLOOKUP(G474,'Vehicle List'!A:C,3,0)</f>
        <v>Rahul Roadlines</v>
      </c>
      <c r="G474" s="29" t="s">
        <v>95</v>
      </c>
      <c r="H474" s="29" t="s">
        <v>1828</v>
      </c>
      <c r="I474" s="29" t="s">
        <v>1827</v>
      </c>
      <c r="J474" s="64" t="str">
        <f>VLOOKUP(G474,'Vehicle List'!A:D,4,0)</f>
        <v>BJJ</v>
      </c>
      <c r="K474" s="64" t="s">
        <v>29</v>
      </c>
      <c r="L474" s="64" t="s">
        <v>19</v>
      </c>
      <c r="M474" s="64" t="s">
        <v>19</v>
      </c>
      <c r="N474" s="101">
        <v>0.31388888888888888</v>
      </c>
      <c r="O474" s="29" t="s">
        <v>1645</v>
      </c>
      <c r="P474" s="29" t="s">
        <v>30</v>
      </c>
    </row>
    <row r="475" spans="1:16">
      <c r="A475" s="29">
        <f t="shared" si="7"/>
        <v>474</v>
      </c>
      <c r="B475" s="75">
        <v>46097</v>
      </c>
      <c r="C475" s="63" t="s">
        <v>27</v>
      </c>
      <c r="D475" s="63" t="s">
        <v>28</v>
      </c>
      <c r="E475" s="101">
        <v>0.35972222222222222</v>
      </c>
      <c r="F475" s="64" t="str">
        <f>VLOOKUP(G475,'Vehicle List'!A:C,3,0)</f>
        <v>Rahul Roadlines</v>
      </c>
      <c r="G475" s="29" t="s">
        <v>608</v>
      </c>
      <c r="H475" s="29" t="s">
        <v>1043</v>
      </c>
      <c r="I475" s="29" t="s">
        <v>1044</v>
      </c>
      <c r="J475" s="64" t="str">
        <f>VLOOKUP(G475,'Vehicle List'!A:D,4,0)</f>
        <v>Ennore</v>
      </c>
      <c r="K475" s="64" t="s">
        <v>29</v>
      </c>
      <c r="L475" s="64" t="s">
        <v>19</v>
      </c>
      <c r="M475" s="64" t="s">
        <v>19</v>
      </c>
      <c r="N475" s="101">
        <v>0.35972222222222222</v>
      </c>
      <c r="O475" s="29" t="s">
        <v>1813</v>
      </c>
      <c r="P475" s="29" t="s">
        <v>30</v>
      </c>
    </row>
    <row r="476" spans="1:16">
      <c r="A476" s="29">
        <f t="shared" si="7"/>
        <v>475</v>
      </c>
      <c r="B476" s="75">
        <v>46097</v>
      </c>
      <c r="C476" s="63" t="s">
        <v>27</v>
      </c>
      <c r="D476" s="63" t="s">
        <v>28</v>
      </c>
      <c r="E476" s="101">
        <v>0.46944444444444444</v>
      </c>
      <c r="F476" s="64" t="str">
        <f>VLOOKUP(G476,'Vehicle List'!A:C,3,0)</f>
        <v>Velan Gogreen Logistics Pvt Ltd</v>
      </c>
      <c r="G476" s="29" t="s">
        <v>34</v>
      </c>
      <c r="H476" s="29" t="s">
        <v>1257</v>
      </c>
      <c r="I476" s="29" t="s">
        <v>1256</v>
      </c>
      <c r="J476" s="64" t="str">
        <f>VLOOKUP(G476,'Vehicle List'!A:D,4,0)</f>
        <v>KNCP</v>
      </c>
      <c r="K476" s="64" t="s">
        <v>29</v>
      </c>
      <c r="L476" s="64" t="s">
        <v>19</v>
      </c>
      <c r="M476" s="64" t="s">
        <v>19</v>
      </c>
      <c r="N476" s="101">
        <v>0.46944444444444444</v>
      </c>
      <c r="O476" s="29" t="s">
        <v>1371</v>
      </c>
      <c r="P476" s="29" t="s">
        <v>30</v>
      </c>
    </row>
    <row r="477" spans="1:16">
      <c r="A477" s="29">
        <f t="shared" si="7"/>
        <v>476</v>
      </c>
      <c r="B477" s="75">
        <v>46097</v>
      </c>
      <c r="C477" s="63" t="s">
        <v>27</v>
      </c>
      <c r="D477" s="63" t="s">
        <v>28</v>
      </c>
      <c r="E477" s="101">
        <v>0.53472222222222221</v>
      </c>
      <c r="F477" s="64" t="str">
        <f>VLOOKUP(G477,'Vehicle List'!A:C,3,0)</f>
        <v>Anmol Transport</v>
      </c>
      <c r="G477" s="29" t="s">
        <v>563</v>
      </c>
      <c r="H477" s="29" t="s">
        <v>1375</v>
      </c>
      <c r="I477" s="29" t="s">
        <v>1258</v>
      </c>
      <c r="J477" s="64" t="str">
        <f>VLOOKUP(G477,'Vehicle List'!A:D,4,0)</f>
        <v>Jalandhar</v>
      </c>
      <c r="K477" s="64" t="s">
        <v>29</v>
      </c>
      <c r="L477" s="64" t="s">
        <v>19</v>
      </c>
      <c r="M477" s="64" t="s">
        <v>19</v>
      </c>
      <c r="N477" s="101">
        <v>0.53472222222222221</v>
      </c>
      <c r="O477" s="29" t="s">
        <v>1645</v>
      </c>
      <c r="P477" s="29" t="s">
        <v>30</v>
      </c>
    </row>
    <row r="478" spans="1:16">
      <c r="A478" s="29">
        <f t="shared" si="7"/>
        <v>477</v>
      </c>
      <c r="B478" s="75">
        <v>46097</v>
      </c>
      <c r="C478" s="63" t="s">
        <v>1268</v>
      </c>
      <c r="D478" s="63" t="s">
        <v>39</v>
      </c>
      <c r="E478" s="101">
        <v>0.61875000000000002</v>
      </c>
      <c r="F478" s="64" t="str">
        <f>VLOOKUP(G478,'Vehicle List'!A:C,3,0)</f>
        <v>Gas Point</v>
      </c>
      <c r="G478" s="29" t="s">
        <v>499</v>
      </c>
      <c r="H478" s="29" t="s">
        <v>1480</v>
      </c>
      <c r="I478" s="29" t="s">
        <v>1479</v>
      </c>
      <c r="J478" s="64" t="str">
        <f>VLOOKUP(G478,'Vehicle List'!A:D,4,0)</f>
        <v>Bhopal</v>
      </c>
      <c r="K478" s="64" t="s">
        <v>29</v>
      </c>
      <c r="L478" s="64" t="s">
        <v>19</v>
      </c>
      <c r="M478" s="64" t="s">
        <v>19</v>
      </c>
      <c r="N478" s="101">
        <v>0.61875000000000002</v>
      </c>
      <c r="O478" s="29" t="s">
        <v>1315</v>
      </c>
      <c r="P478" s="29" t="s">
        <v>30</v>
      </c>
    </row>
    <row r="479" spans="1:16">
      <c r="A479" s="29">
        <f t="shared" si="7"/>
        <v>478</v>
      </c>
      <c r="B479" s="75">
        <v>46097</v>
      </c>
      <c r="C479" s="63" t="s">
        <v>1268</v>
      </c>
      <c r="D479" s="63" t="s">
        <v>39</v>
      </c>
      <c r="E479" s="101">
        <v>0.62083333333333335</v>
      </c>
      <c r="F479" s="64" t="str">
        <f>VLOOKUP(G479,'Vehicle List'!A:C,3,0)</f>
        <v>Expo Trans India Limited</v>
      </c>
      <c r="G479" s="29" t="s">
        <v>330</v>
      </c>
      <c r="H479" s="29" t="s">
        <v>1360</v>
      </c>
      <c r="I479" s="29" t="s">
        <v>1361</v>
      </c>
      <c r="J479" s="64" t="str">
        <f>VLOOKUP(G479,'Vehicle List'!A:D,4,0)</f>
        <v>Chittoor</v>
      </c>
      <c r="K479" s="64" t="s">
        <v>29</v>
      </c>
      <c r="L479" s="64" t="s">
        <v>19</v>
      </c>
      <c r="M479" s="64" t="s">
        <v>19</v>
      </c>
      <c r="N479" s="101">
        <v>0.62083333333333335</v>
      </c>
      <c r="O479" s="29" t="s">
        <v>1474</v>
      </c>
      <c r="P479" s="29" t="s">
        <v>30</v>
      </c>
    </row>
    <row r="480" spans="1:16">
      <c r="A480" s="29">
        <f t="shared" si="7"/>
        <v>479</v>
      </c>
      <c r="B480" s="75">
        <v>46097</v>
      </c>
      <c r="C480" s="63" t="s">
        <v>1268</v>
      </c>
      <c r="D480" s="63" t="s">
        <v>39</v>
      </c>
      <c r="E480" s="101">
        <v>0.62361111111111112</v>
      </c>
      <c r="F480" s="64" t="str">
        <f>VLOOKUP(G480,'Vehicle List'!A:C,3,0)</f>
        <v>Expo Trans India Limited</v>
      </c>
      <c r="G480" s="29" t="s">
        <v>1147</v>
      </c>
      <c r="H480" s="29" t="s">
        <v>1779</v>
      </c>
      <c r="I480" s="29" t="s">
        <v>1780</v>
      </c>
      <c r="J480" s="64" t="str">
        <f>VLOOKUP(G480,'Vehicle List'!A:D,4,0)</f>
        <v>Bhopal</v>
      </c>
      <c r="K480" s="64" t="s">
        <v>29</v>
      </c>
      <c r="L480" s="64" t="s">
        <v>19</v>
      </c>
      <c r="M480" s="64" t="s">
        <v>19</v>
      </c>
      <c r="N480" s="101">
        <v>0.62361111111111112</v>
      </c>
      <c r="O480" s="29" t="s">
        <v>1260</v>
      </c>
      <c r="P480" s="29" t="s">
        <v>30</v>
      </c>
    </row>
    <row r="481" spans="1:16">
      <c r="A481" s="29">
        <f t="shared" si="7"/>
        <v>480</v>
      </c>
      <c r="B481" s="75">
        <v>46097</v>
      </c>
      <c r="C481" s="63" t="s">
        <v>1268</v>
      </c>
      <c r="D481" s="63" t="s">
        <v>39</v>
      </c>
      <c r="E481" s="101">
        <v>0.62916666666666665</v>
      </c>
      <c r="F481" s="64" t="s">
        <v>1126</v>
      </c>
      <c r="G481" s="29" t="s">
        <v>1776</v>
      </c>
      <c r="H481" s="29" t="s">
        <v>1778</v>
      </c>
      <c r="I481" s="29" t="s">
        <v>1777</v>
      </c>
      <c r="J481" s="64" t="s">
        <v>586</v>
      </c>
      <c r="K481" s="64" t="s">
        <v>29</v>
      </c>
      <c r="L481" s="64" t="s">
        <v>19</v>
      </c>
      <c r="M481" s="64" t="s">
        <v>19</v>
      </c>
      <c r="N481" s="101">
        <v>0.62916666666666665</v>
      </c>
      <c r="O481" s="29" t="s">
        <v>1182</v>
      </c>
      <c r="P481" s="29" t="s">
        <v>21</v>
      </c>
    </row>
    <row r="482" spans="1:16">
      <c r="A482" s="29">
        <f t="shared" si="7"/>
        <v>481</v>
      </c>
      <c r="B482" s="75">
        <v>46097</v>
      </c>
      <c r="C482" s="63" t="s">
        <v>1268</v>
      </c>
      <c r="D482" s="63" t="s">
        <v>39</v>
      </c>
      <c r="E482" s="101">
        <v>0.65</v>
      </c>
      <c r="F482" s="64" t="str">
        <f>VLOOKUP(G482,'Vehicle List'!A:C,3,0)</f>
        <v>Expo Trans India Limited</v>
      </c>
      <c r="G482" s="29" t="s">
        <v>319</v>
      </c>
      <c r="H482" s="29" t="s">
        <v>1502</v>
      </c>
      <c r="I482" s="29" t="s">
        <v>1503</v>
      </c>
      <c r="J482" s="64" t="str">
        <f>VLOOKUP(G482,'Vehicle List'!A:D,4,0)</f>
        <v>Chittoor</v>
      </c>
      <c r="K482" s="64" t="s">
        <v>29</v>
      </c>
      <c r="L482" s="64" t="s">
        <v>19</v>
      </c>
      <c r="M482" s="64" t="s">
        <v>19</v>
      </c>
      <c r="N482" s="101">
        <v>0.65</v>
      </c>
      <c r="O482" s="29" t="s">
        <v>1284</v>
      </c>
      <c r="P482" s="29" t="s">
        <v>30</v>
      </c>
    </row>
    <row r="483" spans="1:16">
      <c r="A483" s="29">
        <f t="shared" si="7"/>
        <v>482</v>
      </c>
      <c r="B483" s="75">
        <v>46097</v>
      </c>
      <c r="C483" s="63" t="s">
        <v>1268</v>
      </c>
      <c r="D483" s="63" t="s">
        <v>39</v>
      </c>
      <c r="E483" s="101">
        <v>0.61111111111111116</v>
      </c>
      <c r="F483" s="64" t="str">
        <f>VLOOKUP(G483,'Vehicle List'!A:C,3,0)</f>
        <v>Kongunadu Roadlines</v>
      </c>
      <c r="G483" s="29" t="s">
        <v>101</v>
      </c>
      <c r="H483" s="29" t="s">
        <v>1320</v>
      </c>
      <c r="I483" s="29" t="s">
        <v>1840</v>
      </c>
      <c r="J483" s="64" t="str">
        <f>VLOOKUP(G483,'Vehicle List'!A:D,4,0)</f>
        <v>Ennore</v>
      </c>
      <c r="K483" s="64" t="s">
        <v>24</v>
      </c>
      <c r="L483" s="64" t="s">
        <v>19</v>
      </c>
      <c r="M483" s="64" t="s">
        <v>20</v>
      </c>
      <c r="N483" s="101">
        <v>0.74097222222222225</v>
      </c>
      <c r="O483" s="29" t="s">
        <v>1085</v>
      </c>
      <c r="P483" s="29" t="s">
        <v>21</v>
      </c>
    </row>
    <row r="484" spans="1:16">
      <c r="A484" s="29">
        <f t="shared" si="7"/>
        <v>483</v>
      </c>
      <c r="B484" s="75">
        <v>46097</v>
      </c>
      <c r="C484" s="63" t="s">
        <v>1268</v>
      </c>
      <c r="D484" s="63" t="s">
        <v>39</v>
      </c>
      <c r="E484" s="101">
        <v>0.69513888888888886</v>
      </c>
      <c r="F484" s="64" t="str">
        <f>VLOOKUP(G484,'Vehicle List'!A:C,3,0)</f>
        <v>Rahul Roadlines</v>
      </c>
      <c r="G484" s="29" t="s">
        <v>434</v>
      </c>
      <c r="H484" s="29" t="s">
        <v>1838</v>
      </c>
      <c r="I484" s="29" t="s">
        <v>1839</v>
      </c>
      <c r="J484" s="64" t="str">
        <f>VLOOKUP(G484,'Vehicle List'!A:D,4,0)</f>
        <v>KNV</v>
      </c>
      <c r="K484" s="64" t="s">
        <v>29</v>
      </c>
      <c r="L484" s="64" t="s">
        <v>19</v>
      </c>
      <c r="M484" s="64" t="s">
        <v>19</v>
      </c>
      <c r="N484" s="101">
        <v>0.69513888888888886</v>
      </c>
      <c r="O484" s="29" t="s">
        <v>1224</v>
      </c>
      <c r="P484" s="29" t="s">
        <v>21</v>
      </c>
    </row>
    <row r="485" spans="1:16">
      <c r="A485" s="29">
        <f t="shared" si="7"/>
        <v>484</v>
      </c>
      <c r="B485" s="75">
        <v>46097</v>
      </c>
      <c r="C485" s="63" t="s">
        <v>1268</v>
      </c>
      <c r="D485" s="63" t="s">
        <v>39</v>
      </c>
      <c r="E485" s="101">
        <v>0.69652777777777775</v>
      </c>
      <c r="F485" s="64" t="str">
        <f>VLOOKUP(G485,'Vehicle List'!A:C,3,0)</f>
        <v>Rahul Roadlines</v>
      </c>
      <c r="G485" s="29" t="s">
        <v>77</v>
      </c>
      <c r="H485" s="29" t="s">
        <v>1348</v>
      </c>
      <c r="I485" s="29" t="s">
        <v>1347</v>
      </c>
      <c r="J485" s="64" t="str">
        <f>VLOOKUP(G485,'Vehicle List'!A:D,4,0)</f>
        <v>BJJ</v>
      </c>
      <c r="K485" s="64" t="s">
        <v>29</v>
      </c>
      <c r="L485" s="64" t="s">
        <v>19</v>
      </c>
      <c r="M485" s="64" t="s">
        <v>19</v>
      </c>
      <c r="N485" s="101">
        <v>0.69652777777777775</v>
      </c>
      <c r="O485" s="29" t="s">
        <v>1721</v>
      </c>
      <c r="P485" s="29" t="s">
        <v>30</v>
      </c>
    </row>
    <row r="486" spans="1:16">
      <c r="A486" s="29">
        <f t="shared" si="7"/>
        <v>485</v>
      </c>
      <c r="B486" s="75">
        <v>46097</v>
      </c>
      <c r="C486" s="63" t="s">
        <v>1268</v>
      </c>
      <c r="D486" s="63" t="s">
        <v>39</v>
      </c>
      <c r="E486" s="101">
        <v>0.7319444444444444</v>
      </c>
      <c r="F486" s="64" t="str">
        <f>VLOOKUP(G486,'Vehicle List'!A:C,3,0)</f>
        <v>Kongunadu Roadlines</v>
      </c>
      <c r="G486" s="29" t="s">
        <v>589</v>
      </c>
      <c r="H486" s="29" t="s">
        <v>1652</v>
      </c>
      <c r="I486" s="29" t="s">
        <v>1651</v>
      </c>
      <c r="J486" s="64" t="str">
        <f>VLOOKUP(G486,'Vehicle List'!A:D,4,0)</f>
        <v>Dahej</v>
      </c>
      <c r="K486" s="64" t="s">
        <v>26</v>
      </c>
      <c r="L486" s="64" t="s">
        <v>19</v>
      </c>
      <c r="M486" s="64" t="s">
        <v>20</v>
      </c>
      <c r="N486" s="101">
        <v>0.7729166666666667</v>
      </c>
      <c r="O486" s="29" t="s">
        <v>1837</v>
      </c>
      <c r="P486" s="29" t="s">
        <v>21</v>
      </c>
    </row>
    <row r="487" spans="1:16">
      <c r="A487" s="29">
        <f t="shared" si="7"/>
        <v>486</v>
      </c>
      <c r="B487" s="75">
        <v>46097</v>
      </c>
      <c r="C487" s="63" t="s">
        <v>1268</v>
      </c>
      <c r="D487" s="63" t="s">
        <v>39</v>
      </c>
      <c r="E487" s="101">
        <v>0.75763888888888886</v>
      </c>
      <c r="F487" s="64" t="str">
        <f>VLOOKUP(G487,'Vehicle List'!A:C,3,0)</f>
        <v>Dhinesh Transports</v>
      </c>
      <c r="G487" s="29" t="s">
        <v>445</v>
      </c>
      <c r="H487" s="29" t="s">
        <v>1620</v>
      </c>
      <c r="I487" s="29" t="s">
        <v>1621</v>
      </c>
      <c r="J487" s="64" t="str">
        <f>VLOOKUP(G487,'Vehicle List'!A:D,4,0)</f>
        <v>KNCP</v>
      </c>
      <c r="K487" s="64" t="s">
        <v>29</v>
      </c>
      <c r="L487" s="64" t="s">
        <v>19</v>
      </c>
      <c r="M487" s="64" t="s">
        <v>19</v>
      </c>
      <c r="N487" s="101">
        <v>0.75763888888888886</v>
      </c>
      <c r="O487" s="29" t="s">
        <v>1224</v>
      </c>
      <c r="P487" s="29" t="s">
        <v>30</v>
      </c>
    </row>
    <row r="488" spans="1:16">
      <c r="A488" s="29">
        <f t="shared" si="7"/>
        <v>487</v>
      </c>
      <c r="B488" s="75">
        <v>46097</v>
      </c>
      <c r="C488" s="63" t="s">
        <v>1268</v>
      </c>
      <c r="D488" s="63" t="s">
        <v>39</v>
      </c>
      <c r="E488" s="101">
        <v>0.7680555555555556</v>
      </c>
      <c r="F488" s="64" t="str">
        <f>VLOOKUP(G488,'Vehicle List'!A:C,3,0)</f>
        <v>Kongunadu Roadlines</v>
      </c>
      <c r="G488" s="29" t="s">
        <v>276</v>
      </c>
      <c r="H488" s="29" t="s">
        <v>1287</v>
      </c>
      <c r="I488" s="29" t="s">
        <v>1288</v>
      </c>
      <c r="J488" s="64" t="str">
        <f>VLOOKUP(G488,'Vehicle List'!A:D,4,0)</f>
        <v>KNCP</v>
      </c>
      <c r="K488" s="64" t="s">
        <v>29</v>
      </c>
      <c r="L488" s="64" t="s">
        <v>19</v>
      </c>
      <c r="M488" s="64" t="s">
        <v>19</v>
      </c>
      <c r="N488" s="101">
        <v>0.7680555555555556</v>
      </c>
      <c r="O488" s="29" t="s">
        <v>1195</v>
      </c>
      <c r="P488" s="29" t="s">
        <v>30</v>
      </c>
    </row>
    <row r="489" spans="1:16">
      <c r="A489" s="29">
        <f t="shared" si="7"/>
        <v>488</v>
      </c>
      <c r="B489" s="75">
        <v>46097</v>
      </c>
      <c r="C489" s="63" t="s">
        <v>1268</v>
      </c>
      <c r="D489" s="63" t="s">
        <v>39</v>
      </c>
      <c r="E489" s="101">
        <v>0.76388888888888884</v>
      </c>
      <c r="F489" s="64" t="str">
        <f>VLOOKUP(G489,'Vehicle List'!A:C,3,0)</f>
        <v>Rahul Roadlines</v>
      </c>
      <c r="G489" s="29" t="s">
        <v>65</v>
      </c>
      <c r="H489" s="29" t="s">
        <v>1538</v>
      </c>
      <c r="I489" s="29" t="s">
        <v>1539</v>
      </c>
      <c r="J489" s="64" t="str">
        <f>VLOOKUP(G489,'Vehicle List'!A:D,4,0)</f>
        <v>Ennore</v>
      </c>
      <c r="K489" s="64" t="s">
        <v>1174</v>
      </c>
      <c r="L489" s="64" t="s">
        <v>19</v>
      </c>
      <c r="M489" s="64" t="s">
        <v>20</v>
      </c>
      <c r="N489" s="101">
        <v>0.78263888888888888</v>
      </c>
      <c r="O489" s="29" t="s">
        <v>1085</v>
      </c>
      <c r="P489" s="29" t="s">
        <v>21</v>
      </c>
    </row>
    <row r="490" spans="1:16">
      <c r="A490" s="29">
        <f t="shared" si="7"/>
        <v>489</v>
      </c>
      <c r="B490" s="75">
        <v>46097</v>
      </c>
      <c r="C490" s="63" t="s">
        <v>1268</v>
      </c>
      <c r="D490" s="63" t="s">
        <v>39</v>
      </c>
      <c r="E490" s="101">
        <v>0.85624999999999996</v>
      </c>
      <c r="F490" s="64" t="str">
        <f>VLOOKUP(G490,'Vehicle List'!A:C,3,0)</f>
        <v>Anisha Logistics</v>
      </c>
      <c r="G490" s="29" t="s">
        <v>518</v>
      </c>
      <c r="H490" s="29" t="s">
        <v>1835</v>
      </c>
      <c r="I490" s="29" t="s">
        <v>1836</v>
      </c>
      <c r="J490" s="64" t="str">
        <f>VLOOKUP(G490,'Vehicle List'!A:D,4,0)</f>
        <v>Jalandhar</v>
      </c>
      <c r="K490" s="64" t="s">
        <v>29</v>
      </c>
      <c r="L490" s="64" t="s">
        <v>19</v>
      </c>
      <c r="M490" s="64" t="s">
        <v>19</v>
      </c>
      <c r="N490" s="101">
        <v>0.85624999999999996</v>
      </c>
      <c r="O490" s="29" t="s">
        <v>1182</v>
      </c>
      <c r="P490" s="29" t="s">
        <v>30</v>
      </c>
    </row>
    <row r="491" spans="1:16">
      <c r="A491" s="29">
        <f t="shared" si="7"/>
        <v>490</v>
      </c>
      <c r="B491" s="75">
        <v>46097</v>
      </c>
      <c r="C491" s="63" t="s">
        <v>1268</v>
      </c>
      <c r="D491" s="63" t="s">
        <v>39</v>
      </c>
      <c r="E491" s="101">
        <v>0.88263888888888886</v>
      </c>
      <c r="F491" s="64" t="str">
        <f>VLOOKUP(G491,'Vehicle List'!A:C,3,0)</f>
        <v>Anisha Logistics</v>
      </c>
      <c r="G491" s="29" t="s">
        <v>517</v>
      </c>
      <c r="H491" s="29" t="s">
        <v>1797</v>
      </c>
      <c r="I491" s="29" t="s">
        <v>1796</v>
      </c>
      <c r="J491" s="64" t="str">
        <f>VLOOKUP(G491,'Vehicle List'!A:D,4,0)</f>
        <v>Jalandhar</v>
      </c>
      <c r="K491" s="64" t="s">
        <v>29</v>
      </c>
      <c r="L491" s="64" t="s">
        <v>19</v>
      </c>
      <c r="M491" s="64" t="s">
        <v>19</v>
      </c>
      <c r="N491" s="101">
        <v>0.88263888888888886</v>
      </c>
      <c r="O491" s="29" t="s">
        <v>1673</v>
      </c>
      <c r="P491" s="29" t="s">
        <v>30</v>
      </c>
    </row>
    <row r="492" spans="1:16">
      <c r="A492" s="29">
        <f t="shared" si="7"/>
        <v>491</v>
      </c>
      <c r="B492" s="75">
        <v>46097</v>
      </c>
      <c r="C492" s="63" t="s">
        <v>85</v>
      </c>
      <c r="D492" s="63" t="s">
        <v>16</v>
      </c>
      <c r="E492" s="101">
        <v>0.96944444444444444</v>
      </c>
      <c r="F492" s="64" t="str">
        <f>VLOOKUP(G492,'Vehicle List'!A:C,3,0)</f>
        <v>Expo Trans India Limited</v>
      </c>
      <c r="G492" s="29" t="s">
        <v>32</v>
      </c>
      <c r="H492" s="29" t="s">
        <v>1844</v>
      </c>
      <c r="I492" s="29" t="s">
        <v>1845</v>
      </c>
      <c r="J492" s="64" t="str">
        <f>VLOOKUP(G492,'Vehicle List'!A:D,4,0)</f>
        <v>UHS</v>
      </c>
      <c r="K492" s="64" t="s">
        <v>29</v>
      </c>
      <c r="L492" s="64" t="s">
        <v>19</v>
      </c>
      <c r="M492" s="64" t="s">
        <v>19</v>
      </c>
      <c r="N492" s="101">
        <v>0.96944444444444444</v>
      </c>
      <c r="O492" s="29" t="s">
        <v>1224</v>
      </c>
      <c r="P492" s="29" t="s">
        <v>21</v>
      </c>
    </row>
    <row r="493" spans="1:16">
      <c r="A493" s="29">
        <f t="shared" si="7"/>
        <v>492</v>
      </c>
      <c r="B493" s="75">
        <v>46097</v>
      </c>
      <c r="C493" s="63" t="s">
        <v>85</v>
      </c>
      <c r="D493" s="63" t="s">
        <v>16</v>
      </c>
      <c r="E493" s="101">
        <v>0.96944444444444444</v>
      </c>
      <c r="F493" s="64" t="str">
        <f>VLOOKUP(G493,'Vehicle List'!A:C,3,0)</f>
        <v>Expo Trans India Limited</v>
      </c>
      <c r="G493" s="29" t="s">
        <v>1146</v>
      </c>
      <c r="H493" s="29" t="s">
        <v>1842</v>
      </c>
      <c r="I493" s="29" t="s">
        <v>1843</v>
      </c>
      <c r="J493" s="64" t="str">
        <f>VLOOKUP(G493,'Vehicle List'!A:D,4,0)</f>
        <v>Bhopal</v>
      </c>
      <c r="K493" s="64" t="s">
        <v>26</v>
      </c>
      <c r="L493" s="64" t="s">
        <v>19</v>
      </c>
      <c r="M493" s="64" t="s">
        <v>20</v>
      </c>
      <c r="N493" s="101">
        <v>7.2222222222222215E-2</v>
      </c>
      <c r="O493" s="29" t="s">
        <v>1096</v>
      </c>
      <c r="P493" s="29" t="s">
        <v>21</v>
      </c>
    </row>
    <row r="494" spans="1:16">
      <c r="A494" s="29">
        <f t="shared" si="7"/>
        <v>493</v>
      </c>
      <c r="B494" s="75">
        <v>46098</v>
      </c>
      <c r="C494" s="63" t="s">
        <v>85</v>
      </c>
      <c r="D494" s="63" t="s">
        <v>16</v>
      </c>
      <c r="E494" s="101">
        <v>6.9444444444444441E-3</v>
      </c>
      <c r="F494" s="64" t="str">
        <f>VLOOKUP(G494,'Vehicle List'!A:C,3,0)</f>
        <v>Kongunadu Roadlines</v>
      </c>
      <c r="G494" s="29" t="s">
        <v>364</v>
      </c>
      <c r="H494" s="29" t="s">
        <v>1848</v>
      </c>
      <c r="I494" s="29" t="s">
        <v>1849</v>
      </c>
      <c r="J494" s="64" t="str">
        <f>VLOOKUP(G494,'Vehicle List'!A:D,4,0)</f>
        <v>UHS</v>
      </c>
      <c r="K494" s="64" t="s">
        <v>29</v>
      </c>
      <c r="L494" s="64" t="s">
        <v>19</v>
      </c>
      <c r="M494" s="64" t="s">
        <v>19</v>
      </c>
      <c r="N494" s="101">
        <v>6.9444444444444441E-3</v>
      </c>
      <c r="O494" s="29" t="s">
        <v>1260</v>
      </c>
      <c r="P494" s="29" t="s">
        <v>21</v>
      </c>
    </row>
    <row r="495" spans="1:16">
      <c r="A495" s="29">
        <f t="shared" si="7"/>
        <v>494</v>
      </c>
      <c r="B495" s="75">
        <v>46098</v>
      </c>
      <c r="C495" s="63" t="s">
        <v>85</v>
      </c>
      <c r="D495" s="63" t="s">
        <v>16</v>
      </c>
      <c r="E495" s="101">
        <v>1.1805555555555555E-2</v>
      </c>
      <c r="F495" s="64" t="str">
        <f>VLOOKUP(G495,'Vehicle List'!A:C,3,0)</f>
        <v>Anisha Logistics</v>
      </c>
      <c r="G495" s="29" t="s">
        <v>486</v>
      </c>
      <c r="H495" s="29" t="s">
        <v>1850</v>
      </c>
      <c r="I495" s="29" t="s">
        <v>1851</v>
      </c>
      <c r="J495" s="64" t="str">
        <f>VLOOKUP(G495,'Vehicle List'!A:D,4,0)</f>
        <v>Bhopal</v>
      </c>
      <c r="K495" s="64" t="s">
        <v>29</v>
      </c>
      <c r="L495" s="64" t="s">
        <v>19</v>
      </c>
      <c r="M495" s="64" t="s">
        <v>19</v>
      </c>
      <c r="N495" s="101">
        <v>1.1805555555555555E-2</v>
      </c>
      <c r="O495" s="29" t="s">
        <v>1182</v>
      </c>
      <c r="P495" s="29" t="s">
        <v>30</v>
      </c>
    </row>
    <row r="496" spans="1:16">
      <c r="A496" s="29">
        <f t="shared" si="7"/>
        <v>495</v>
      </c>
      <c r="B496" s="75">
        <v>46098</v>
      </c>
      <c r="C496" s="63" t="s">
        <v>85</v>
      </c>
      <c r="D496" s="63" t="s">
        <v>16</v>
      </c>
      <c r="E496" s="101">
        <v>2.2916666666666665E-2</v>
      </c>
      <c r="F496" s="64" t="str">
        <f>VLOOKUP(G496,'Vehicle List'!A:C,3,0)</f>
        <v>Expo Trans India Limited</v>
      </c>
      <c r="G496" s="29" t="s">
        <v>535</v>
      </c>
      <c r="H496" s="29" t="s">
        <v>1846</v>
      </c>
      <c r="I496" s="29" t="s">
        <v>1847</v>
      </c>
      <c r="J496" s="64" t="str">
        <f>VLOOKUP(G496,'Vehicle List'!A:D,4,0)</f>
        <v>Baghpat</v>
      </c>
      <c r="K496" s="64" t="s">
        <v>18</v>
      </c>
      <c r="L496" s="64" t="s">
        <v>19</v>
      </c>
      <c r="M496" s="64" t="s">
        <v>20</v>
      </c>
      <c r="N496" s="101">
        <v>4.5138888888888888E-2</v>
      </c>
      <c r="O496" s="29" t="s">
        <v>1632</v>
      </c>
      <c r="P496" s="29" t="s">
        <v>21</v>
      </c>
    </row>
    <row r="497" spans="1:16">
      <c r="A497" s="29">
        <f t="shared" si="7"/>
        <v>496</v>
      </c>
      <c r="B497" s="75">
        <v>46098</v>
      </c>
      <c r="C497" s="63" t="s">
        <v>85</v>
      </c>
      <c r="D497" s="63" t="s">
        <v>16</v>
      </c>
      <c r="E497" s="101">
        <v>0.13541666666666666</v>
      </c>
      <c r="F497" s="64" t="str">
        <f>VLOOKUP(G497,'Vehicle List'!A:C,3,0)</f>
        <v>Expo Trans India Limited</v>
      </c>
      <c r="G497" s="29" t="s">
        <v>304</v>
      </c>
      <c r="H497" s="29" t="s">
        <v>1485</v>
      </c>
      <c r="I497" s="29" t="s">
        <v>1484</v>
      </c>
      <c r="J497" s="64" t="str">
        <f>VLOOKUP(G497,'Vehicle List'!A:D,4,0)</f>
        <v>ANK</v>
      </c>
      <c r="K497" s="64" t="s">
        <v>29</v>
      </c>
      <c r="L497" s="64" t="s">
        <v>19</v>
      </c>
      <c r="M497" s="64" t="s">
        <v>19</v>
      </c>
      <c r="N497" s="101">
        <v>0.13541666666666666</v>
      </c>
      <c r="O497" s="29" t="s">
        <v>1645</v>
      </c>
      <c r="P497" s="29" t="s">
        <v>30</v>
      </c>
    </row>
    <row r="498" spans="1:16">
      <c r="A498" s="29">
        <f t="shared" si="7"/>
        <v>497</v>
      </c>
      <c r="B498" s="75">
        <v>46098</v>
      </c>
      <c r="C498" s="63" t="s">
        <v>85</v>
      </c>
      <c r="D498" s="63" t="s">
        <v>16</v>
      </c>
      <c r="E498" s="101">
        <v>0.1986111111111111</v>
      </c>
      <c r="F498" s="64" t="str">
        <f>VLOOKUP(G498,'Vehicle List'!A:C,3,0)</f>
        <v>Kongunadu Roadlines</v>
      </c>
      <c r="G498" s="29" t="s">
        <v>591</v>
      </c>
      <c r="H498" s="29" t="s">
        <v>1518</v>
      </c>
      <c r="I498" s="29" t="s">
        <v>1519</v>
      </c>
      <c r="J498" s="64" t="str">
        <f>VLOOKUP(G498,'Vehicle List'!A:D,4,0)</f>
        <v>Kochi</v>
      </c>
      <c r="K498" s="64" t="s">
        <v>29</v>
      </c>
      <c r="L498" s="64" t="s">
        <v>19</v>
      </c>
      <c r="M498" s="64" t="s">
        <v>19</v>
      </c>
      <c r="N498" s="101">
        <v>0.1986111111111111</v>
      </c>
      <c r="O498" s="29" t="s">
        <v>1721</v>
      </c>
      <c r="P498" s="29" t="s">
        <v>30</v>
      </c>
    </row>
    <row r="499" spans="1:16">
      <c r="A499" s="29">
        <f t="shared" si="7"/>
        <v>498</v>
      </c>
      <c r="B499" s="75">
        <v>46098</v>
      </c>
      <c r="C499" s="63" t="s">
        <v>85</v>
      </c>
      <c r="D499" s="63" t="s">
        <v>16</v>
      </c>
      <c r="E499" s="101">
        <v>0.20833333333333334</v>
      </c>
      <c r="F499" s="64" t="str">
        <f>VLOOKUP(G499,'Vehicle List'!A:C,3,0)</f>
        <v>Rahul Roadlines</v>
      </c>
      <c r="G499" s="29" t="s">
        <v>88</v>
      </c>
      <c r="H499" s="29" t="s">
        <v>1853</v>
      </c>
      <c r="I499" s="29" t="s">
        <v>1854</v>
      </c>
      <c r="J499" s="64" t="str">
        <f>VLOOKUP(G499,'Vehicle List'!A:D,4,0)</f>
        <v>Dahej</v>
      </c>
      <c r="K499" s="64" t="s">
        <v>26</v>
      </c>
      <c r="L499" s="64" t="s">
        <v>19</v>
      </c>
      <c r="M499" s="64" t="s">
        <v>20</v>
      </c>
      <c r="N499" s="101">
        <v>0.22083333333333333</v>
      </c>
      <c r="O499" s="29" t="s">
        <v>1124</v>
      </c>
      <c r="P499" s="29" t="s">
        <v>21</v>
      </c>
    </row>
    <row r="500" spans="1:16">
      <c r="A500" s="29">
        <f t="shared" si="7"/>
        <v>499</v>
      </c>
      <c r="B500" s="75">
        <v>46098</v>
      </c>
      <c r="C500" s="63" t="s">
        <v>27</v>
      </c>
      <c r="D500" s="63" t="s">
        <v>28</v>
      </c>
      <c r="E500" s="101">
        <v>0.26597222222222222</v>
      </c>
      <c r="F500" s="64" t="str">
        <f>VLOOKUP(G500,'Vehicle List'!A:C,3,0)</f>
        <v>Kongunadu Roadlines</v>
      </c>
      <c r="G500" s="29" t="s">
        <v>99</v>
      </c>
      <c r="H500" s="29" t="s">
        <v>1200</v>
      </c>
      <c r="I500" s="29" t="s">
        <v>1199</v>
      </c>
      <c r="J500" s="64" t="str">
        <f>VLOOKUP(G500,'Vehicle List'!A:D,4,0)</f>
        <v>Ennore</v>
      </c>
      <c r="K500" s="64" t="s">
        <v>29</v>
      </c>
      <c r="L500" s="64" t="s">
        <v>19</v>
      </c>
      <c r="M500" s="64" t="s">
        <v>19</v>
      </c>
      <c r="N500" s="101">
        <v>0.26597222222222222</v>
      </c>
      <c r="O500" s="29" t="s">
        <v>1855</v>
      </c>
      <c r="P500" s="29" t="s">
        <v>30</v>
      </c>
    </row>
    <row r="501" spans="1:16">
      <c r="A501" s="29">
        <f t="shared" si="7"/>
        <v>500</v>
      </c>
      <c r="B501" s="75">
        <v>46098</v>
      </c>
      <c r="C501" s="63" t="s">
        <v>27</v>
      </c>
      <c r="D501" s="63" t="s">
        <v>28</v>
      </c>
      <c r="E501" s="101">
        <v>0.26874999999999999</v>
      </c>
      <c r="F501" s="64" t="str">
        <f>VLOOKUP(G501,'Vehicle List'!A:C,3,0)</f>
        <v>Rahul Roadlines</v>
      </c>
      <c r="G501" s="29" t="s">
        <v>608</v>
      </c>
      <c r="H501" s="29" t="s">
        <v>1857</v>
      </c>
      <c r="I501" s="29" t="s">
        <v>1856</v>
      </c>
      <c r="J501" s="64" t="str">
        <f>VLOOKUP(G501,'Vehicle List'!A:D,4,0)</f>
        <v>Ennore</v>
      </c>
      <c r="K501" s="64" t="s">
        <v>1171</v>
      </c>
      <c r="L501" s="64" t="s">
        <v>19</v>
      </c>
      <c r="M501" s="64" t="s">
        <v>20</v>
      </c>
      <c r="N501" s="101">
        <v>0.4465277777777778</v>
      </c>
      <c r="O501" s="29" t="s">
        <v>1085</v>
      </c>
      <c r="P501" s="29" t="s">
        <v>21</v>
      </c>
    </row>
    <row r="502" spans="1:16">
      <c r="A502" s="29">
        <f t="shared" si="7"/>
        <v>501</v>
      </c>
      <c r="B502" s="75">
        <v>46098</v>
      </c>
      <c r="C502" s="63" t="s">
        <v>27</v>
      </c>
      <c r="D502" s="63" t="s">
        <v>28</v>
      </c>
      <c r="E502" s="101">
        <v>0.27916666666666667</v>
      </c>
      <c r="F502" s="64" t="str">
        <f>VLOOKUP(G502,'Vehicle List'!A:C,3,0)</f>
        <v>Rahul Roadlines</v>
      </c>
      <c r="G502" s="29" t="s">
        <v>1095</v>
      </c>
      <c r="H502" s="29" t="s">
        <v>1767</v>
      </c>
      <c r="I502" s="29" t="s">
        <v>1826</v>
      </c>
      <c r="J502" s="64" t="str">
        <f>VLOOKUP(G502,'Vehicle List'!A:D,4,0)</f>
        <v>KNCP</v>
      </c>
      <c r="K502" s="64" t="s">
        <v>29</v>
      </c>
      <c r="L502" s="64" t="s">
        <v>19</v>
      </c>
      <c r="M502" s="64" t="s">
        <v>19</v>
      </c>
      <c r="N502" s="101">
        <v>0.27916666666666667</v>
      </c>
      <c r="O502" s="29" t="s">
        <v>1645</v>
      </c>
      <c r="P502" s="29" t="s">
        <v>30</v>
      </c>
    </row>
    <row r="503" spans="1:16">
      <c r="A503" s="29">
        <f t="shared" si="7"/>
        <v>502</v>
      </c>
      <c r="B503" s="75">
        <v>46098</v>
      </c>
      <c r="C503" s="63" t="s">
        <v>27</v>
      </c>
      <c r="D503" s="63" t="s">
        <v>28</v>
      </c>
      <c r="E503" s="101">
        <v>0.28333333333333333</v>
      </c>
      <c r="F503" s="64" t="str">
        <f>VLOOKUP(G503,'Vehicle List'!A:C,3,0)</f>
        <v>Sritransways Logistics</v>
      </c>
      <c r="G503" s="29" t="s">
        <v>33</v>
      </c>
      <c r="H503" s="29" t="s">
        <v>1465</v>
      </c>
      <c r="I503" s="29" t="s">
        <v>1355</v>
      </c>
      <c r="J503" s="64" t="str">
        <f>VLOOKUP(G503,'Vehicle List'!A:D,4,0)</f>
        <v>AKT</v>
      </c>
      <c r="K503" s="64" t="s">
        <v>24</v>
      </c>
      <c r="L503" s="64" t="s">
        <v>19</v>
      </c>
      <c r="M503" s="64" t="s">
        <v>20</v>
      </c>
      <c r="N503" s="101">
        <v>0.44722222222222224</v>
      </c>
      <c r="O503" s="29" t="s">
        <v>1227</v>
      </c>
      <c r="P503" s="29" t="s">
        <v>21</v>
      </c>
    </row>
    <row r="504" spans="1:16">
      <c r="A504" s="29">
        <f t="shared" si="7"/>
        <v>503</v>
      </c>
      <c r="B504" s="75">
        <v>46098</v>
      </c>
      <c r="C504" s="63" t="s">
        <v>27</v>
      </c>
      <c r="D504" s="63" t="s">
        <v>28</v>
      </c>
      <c r="E504" s="101">
        <v>0.31874999999999998</v>
      </c>
      <c r="F504" s="64" t="str">
        <f>VLOOKUP(G504,'Vehicle List'!A:C,3,0)</f>
        <v>Rahul Roadlines</v>
      </c>
      <c r="G504" s="29" t="s">
        <v>78</v>
      </c>
      <c r="H504" s="29" t="s">
        <v>1290</v>
      </c>
      <c r="I504" s="29" t="s">
        <v>1289</v>
      </c>
      <c r="J504" s="64" t="str">
        <f>VLOOKUP(G504,'Vehicle List'!A:D,4,0)</f>
        <v>BJJ</v>
      </c>
      <c r="K504" s="64" t="s">
        <v>29</v>
      </c>
      <c r="L504" s="64" t="s">
        <v>19</v>
      </c>
      <c r="M504" s="64" t="s">
        <v>19</v>
      </c>
      <c r="N504" s="101">
        <v>0.31874999999999998</v>
      </c>
      <c r="O504" s="29" t="s">
        <v>1315</v>
      </c>
      <c r="P504" s="29" t="s">
        <v>30</v>
      </c>
    </row>
    <row r="505" spans="1:16">
      <c r="A505" s="29">
        <f t="shared" si="7"/>
        <v>504</v>
      </c>
      <c r="B505" s="75">
        <v>46098</v>
      </c>
      <c r="C505" s="63" t="s">
        <v>27</v>
      </c>
      <c r="D505" s="63" t="s">
        <v>28</v>
      </c>
      <c r="E505" s="101">
        <v>0.34513888888888888</v>
      </c>
      <c r="F505" s="64" t="str">
        <f>VLOOKUP(G505,'Vehicle List'!A:C,3,0)</f>
        <v>Expo Trans India Limited</v>
      </c>
      <c r="G505" s="29" t="s">
        <v>1146</v>
      </c>
      <c r="H505" s="29" t="s">
        <v>1842</v>
      </c>
      <c r="I505" s="29" t="s">
        <v>1843</v>
      </c>
      <c r="J505" s="64" t="str">
        <f>VLOOKUP(G505,'Vehicle List'!A:D,4,0)</f>
        <v>Bhopal</v>
      </c>
      <c r="K505" s="64" t="s">
        <v>26</v>
      </c>
      <c r="L505" s="64" t="s">
        <v>19</v>
      </c>
      <c r="M505" s="64" t="s">
        <v>20</v>
      </c>
      <c r="N505" s="101">
        <v>0.44166666666666665</v>
      </c>
      <c r="O505" s="29" t="s">
        <v>1096</v>
      </c>
      <c r="P505" s="29" t="s">
        <v>21</v>
      </c>
    </row>
    <row r="506" spans="1:16">
      <c r="A506" s="29">
        <f t="shared" si="7"/>
        <v>505</v>
      </c>
      <c r="B506" s="75">
        <v>46098</v>
      </c>
      <c r="C506" s="63" t="s">
        <v>27</v>
      </c>
      <c r="D506" s="63" t="s">
        <v>28</v>
      </c>
      <c r="E506" s="101">
        <v>0.4</v>
      </c>
      <c r="F506" s="64" t="str">
        <f>VLOOKUP(G506,'Vehicle List'!A:C,3,0)</f>
        <v>Kongunadu Roadlines</v>
      </c>
      <c r="G506" s="29" t="s">
        <v>590</v>
      </c>
      <c r="H506" s="29" t="s">
        <v>1858</v>
      </c>
      <c r="I506" s="29" t="s">
        <v>1639</v>
      </c>
      <c r="J506" s="64" t="str">
        <f>VLOOKUP(G506,'Vehicle List'!A:D,4,0)</f>
        <v>Ennore</v>
      </c>
      <c r="K506" s="64" t="s">
        <v>1174</v>
      </c>
      <c r="L506" s="64" t="s">
        <v>19</v>
      </c>
      <c r="M506" s="64" t="s">
        <v>20</v>
      </c>
      <c r="N506" s="101">
        <v>0.44513888888888886</v>
      </c>
      <c r="O506" s="29" t="s">
        <v>1085</v>
      </c>
      <c r="P506" s="29" t="s">
        <v>21</v>
      </c>
    </row>
    <row r="507" spans="1:16">
      <c r="A507" s="29">
        <f t="shared" si="7"/>
        <v>506</v>
      </c>
      <c r="B507" s="75">
        <v>46098</v>
      </c>
      <c r="C507" s="63" t="s">
        <v>27</v>
      </c>
      <c r="D507" s="63" t="s">
        <v>28</v>
      </c>
      <c r="E507" s="101">
        <v>0.47430555555555554</v>
      </c>
      <c r="F507" s="64" t="str">
        <f>VLOOKUP(G507,'Vehicle List'!A:C,3,0)</f>
        <v>Rahul Roadlines</v>
      </c>
      <c r="G507" s="29" t="s">
        <v>616</v>
      </c>
      <c r="H507" s="29" t="s">
        <v>1334</v>
      </c>
      <c r="I507" s="29" t="s">
        <v>1333</v>
      </c>
      <c r="J507" s="64" t="str">
        <f>VLOOKUP(G507,'Vehicle List'!A:D,4,0)</f>
        <v>Kochi</v>
      </c>
      <c r="K507" s="64" t="s">
        <v>29</v>
      </c>
      <c r="L507" s="64" t="s">
        <v>19</v>
      </c>
      <c r="M507" s="64" t="s">
        <v>19</v>
      </c>
      <c r="N507" s="101">
        <v>0.47430555555555554</v>
      </c>
      <c r="O507" s="29" t="s">
        <v>1315</v>
      </c>
      <c r="P507" s="29" t="s">
        <v>30</v>
      </c>
    </row>
    <row r="508" spans="1:16">
      <c r="A508" s="29">
        <f t="shared" si="7"/>
        <v>507</v>
      </c>
      <c r="B508" s="75">
        <v>46098</v>
      </c>
      <c r="C508" s="63" t="s">
        <v>27</v>
      </c>
      <c r="D508" s="63" t="s">
        <v>28</v>
      </c>
      <c r="E508" s="101">
        <v>0.53194444444444444</v>
      </c>
      <c r="F508" s="64" t="str">
        <f>VLOOKUP(G508,'Vehicle List'!A:C,3,0)</f>
        <v>Expo Trans India Limited</v>
      </c>
      <c r="G508" s="29" t="s">
        <v>41</v>
      </c>
      <c r="H508" s="29" t="s">
        <v>1789</v>
      </c>
      <c r="I508" s="29" t="s">
        <v>1788</v>
      </c>
      <c r="J508" s="64" t="str">
        <f>VLOOKUP(G508,'Vehicle List'!A:D,4,0)</f>
        <v>Chittoor</v>
      </c>
      <c r="K508" s="64" t="s">
        <v>29</v>
      </c>
      <c r="L508" s="64" t="s">
        <v>19</v>
      </c>
      <c r="M508" s="64" t="s">
        <v>19</v>
      </c>
      <c r="N508" s="101">
        <v>0.53194444444444444</v>
      </c>
      <c r="O508" s="29" t="s">
        <v>1312</v>
      </c>
      <c r="P508" s="29" t="s">
        <v>30</v>
      </c>
    </row>
    <row r="509" spans="1:16">
      <c r="A509" s="29">
        <f t="shared" si="7"/>
        <v>508</v>
      </c>
      <c r="B509" s="75">
        <v>46098</v>
      </c>
      <c r="C509" s="63" t="s">
        <v>1268</v>
      </c>
      <c r="D509" s="63" t="s">
        <v>39</v>
      </c>
      <c r="E509" s="101">
        <v>0.61527777777777781</v>
      </c>
      <c r="F509" s="64" t="str">
        <f>VLOOKUP(G509,'Vehicle List'!A:C,3,0)</f>
        <v>Rahul Roadlines</v>
      </c>
      <c r="G509" s="29" t="s">
        <v>616</v>
      </c>
      <c r="H509" s="29" t="s">
        <v>1334</v>
      </c>
      <c r="I509" s="29" t="s">
        <v>1333</v>
      </c>
      <c r="J509" s="64" t="str">
        <f>VLOOKUP(G509,'Vehicle List'!A:D,4,0)</f>
        <v>Kochi</v>
      </c>
      <c r="K509" s="64" t="s">
        <v>29</v>
      </c>
      <c r="L509" s="64" t="s">
        <v>19</v>
      </c>
      <c r="M509" s="64" t="s">
        <v>19</v>
      </c>
      <c r="N509" s="101">
        <v>0.61527777777777781</v>
      </c>
      <c r="O509" s="29" t="s">
        <v>1315</v>
      </c>
      <c r="P509" s="29" t="s">
        <v>30</v>
      </c>
    </row>
    <row r="510" spans="1:16">
      <c r="A510" s="29">
        <f t="shared" si="7"/>
        <v>509</v>
      </c>
      <c r="B510" s="75">
        <v>46098</v>
      </c>
      <c r="C510" s="63" t="s">
        <v>1268</v>
      </c>
      <c r="D510" s="63" t="s">
        <v>39</v>
      </c>
      <c r="E510" s="101">
        <v>0.61875000000000002</v>
      </c>
      <c r="F510" s="64" t="str">
        <f>VLOOKUP(G510,'Vehicle List'!A:C,3,0)</f>
        <v>Anmol Transport</v>
      </c>
      <c r="G510" s="29" t="s">
        <v>550</v>
      </c>
      <c r="H510" s="29" t="s">
        <v>1872</v>
      </c>
      <c r="I510" s="29" t="s">
        <v>1873</v>
      </c>
      <c r="J510" s="64" t="str">
        <f>VLOOKUP(G510,'Vehicle List'!A:D,4,0)</f>
        <v>Baghpat</v>
      </c>
      <c r="K510" s="64" t="s">
        <v>29</v>
      </c>
      <c r="L510" s="64" t="s">
        <v>19</v>
      </c>
      <c r="M510" s="64" t="s">
        <v>19</v>
      </c>
      <c r="N510" s="101">
        <v>0.61875000000000002</v>
      </c>
      <c r="O510" s="29" t="s">
        <v>1721</v>
      </c>
      <c r="P510" s="29" t="s">
        <v>21</v>
      </c>
    </row>
    <row r="511" spans="1:16">
      <c r="A511" s="29">
        <f t="shared" si="7"/>
        <v>510</v>
      </c>
      <c r="B511" s="75">
        <v>46098</v>
      </c>
      <c r="C511" s="63" t="s">
        <v>1268</v>
      </c>
      <c r="D511" s="63" t="s">
        <v>39</v>
      </c>
      <c r="E511" s="101">
        <v>0.62430555555555556</v>
      </c>
      <c r="F511" s="64" t="str">
        <f>VLOOKUP(G511,'Vehicle List'!A:C,3,0)</f>
        <v>Expo Trans India Limited</v>
      </c>
      <c r="G511" s="29" t="s">
        <v>323</v>
      </c>
      <c r="H511" s="29" t="s">
        <v>1870</v>
      </c>
      <c r="I511" s="29" t="s">
        <v>1871</v>
      </c>
      <c r="J511" s="64" t="str">
        <f>VLOOKUP(G511,'Vehicle List'!A:D,4,0)</f>
        <v>BJJ</v>
      </c>
      <c r="K511" s="64" t="s">
        <v>29</v>
      </c>
      <c r="L511" s="64" t="s">
        <v>19</v>
      </c>
      <c r="M511" s="64" t="s">
        <v>19</v>
      </c>
      <c r="N511" s="101">
        <v>0.62430555555555556</v>
      </c>
      <c r="O511" s="29" t="s">
        <v>1869</v>
      </c>
      <c r="P511" s="29" t="s">
        <v>30</v>
      </c>
    </row>
    <row r="512" spans="1:16">
      <c r="A512" s="29">
        <f t="shared" si="7"/>
        <v>511</v>
      </c>
      <c r="B512" s="75">
        <v>46098</v>
      </c>
      <c r="C512" s="63" t="s">
        <v>1268</v>
      </c>
      <c r="D512" s="63" t="s">
        <v>39</v>
      </c>
      <c r="E512" s="101">
        <v>0.68472222222222223</v>
      </c>
      <c r="F512" s="64" t="str">
        <f>VLOOKUP(G512,'Vehicle List'!A:C,3,0)</f>
        <v>Kongunadu Roadlines</v>
      </c>
      <c r="G512" s="29" t="s">
        <v>369</v>
      </c>
      <c r="H512" s="29" t="s">
        <v>1524</v>
      </c>
      <c r="I512" s="29" t="s">
        <v>1523</v>
      </c>
      <c r="J512" s="64" t="str">
        <f>VLOOKUP(G512,'Vehicle List'!A:D,4,0)</f>
        <v>KNCP</v>
      </c>
      <c r="K512" s="64" t="s">
        <v>29</v>
      </c>
      <c r="L512" s="64" t="s">
        <v>19</v>
      </c>
      <c r="M512" s="64" t="s">
        <v>19</v>
      </c>
      <c r="N512" s="101">
        <v>0.68472222222222223</v>
      </c>
      <c r="O512" s="29" t="s">
        <v>1182</v>
      </c>
      <c r="P512" s="29" t="s">
        <v>30</v>
      </c>
    </row>
    <row r="513" spans="1:16">
      <c r="A513" s="29">
        <f t="shared" si="7"/>
        <v>512</v>
      </c>
      <c r="B513" s="75">
        <v>46098</v>
      </c>
      <c r="C513" s="63" t="s">
        <v>1268</v>
      </c>
      <c r="D513" s="63" t="s">
        <v>39</v>
      </c>
      <c r="E513" s="101">
        <v>0.68958333333333333</v>
      </c>
      <c r="F513" s="64" t="str">
        <f>VLOOKUP(G513,'Vehicle List'!A:C,3,0)</f>
        <v>Chaudhary Transport</v>
      </c>
      <c r="G513" s="29" t="s">
        <v>1099</v>
      </c>
      <c r="H513" s="29" t="s">
        <v>1554</v>
      </c>
      <c r="I513" s="29" t="s">
        <v>1555</v>
      </c>
      <c r="J513" s="64" t="str">
        <f>VLOOKUP(G513,'Vehicle List'!A:D,4,0)</f>
        <v>KNCP</v>
      </c>
      <c r="K513" s="64" t="s">
        <v>29</v>
      </c>
      <c r="L513" s="64" t="s">
        <v>19</v>
      </c>
      <c r="M513" s="64" t="s">
        <v>19</v>
      </c>
      <c r="N513" s="101">
        <v>0.68958333333333333</v>
      </c>
      <c r="O513" s="29" t="s">
        <v>1182</v>
      </c>
      <c r="P513" s="29" t="s">
        <v>30</v>
      </c>
    </row>
    <row r="514" spans="1:16">
      <c r="A514" s="29">
        <f t="shared" si="7"/>
        <v>513</v>
      </c>
      <c r="B514" s="75">
        <v>46098</v>
      </c>
      <c r="C514" s="63" t="s">
        <v>1268</v>
      </c>
      <c r="D514" s="63" t="s">
        <v>39</v>
      </c>
      <c r="E514" s="101">
        <v>0.72638888888888886</v>
      </c>
      <c r="F514" s="64" t="str">
        <f>VLOOKUP(G514,'Vehicle List'!A:C,3,0)</f>
        <v>Rahul Roadlines</v>
      </c>
      <c r="G514" s="29" t="s">
        <v>608</v>
      </c>
      <c r="H514" s="29" t="s">
        <v>1857</v>
      </c>
      <c r="I514" s="29" t="s">
        <v>1856</v>
      </c>
      <c r="J514" s="64" t="str">
        <f>VLOOKUP(G514,'Vehicle List'!A:D,4,0)</f>
        <v>Ennore</v>
      </c>
      <c r="K514" s="64" t="s">
        <v>29</v>
      </c>
      <c r="L514" s="64" t="s">
        <v>19</v>
      </c>
      <c r="M514" s="64" t="s">
        <v>19</v>
      </c>
      <c r="N514" s="101">
        <v>0.72638888888888886</v>
      </c>
      <c r="O514" s="29" t="s">
        <v>1224</v>
      </c>
      <c r="P514" s="29" t="s">
        <v>30</v>
      </c>
    </row>
    <row r="515" spans="1:16">
      <c r="A515" s="29">
        <f t="shared" si="7"/>
        <v>514</v>
      </c>
      <c r="B515" s="75">
        <v>46098</v>
      </c>
      <c r="C515" s="63" t="s">
        <v>1268</v>
      </c>
      <c r="D515" s="63" t="s">
        <v>39</v>
      </c>
      <c r="E515" s="101">
        <v>0.72986111111111107</v>
      </c>
      <c r="F515" s="64" t="str">
        <f>VLOOKUP(G515,'Vehicle List'!A:C,3,0)</f>
        <v>Kongunadu Roadlines</v>
      </c>
      <c r="G515" s="29" t="s">
        <v>591</v>
      </c>
      <c r="H515" s="29" t="s">
        <v>1518</v>
      </c>
      <c r="I515" s="29" t="s">
        <v>1519</v>
      </c>
      <c r="J515" s="64" t="str">
        <f>VLOOKUP(G515,'Vehicle List'!A:D,4,0)</f>
        <v>Kochi</v>
      </c>
      <c r="K515" s="64" t="s">
        <v>29</v>
      </c>
      <c r="L515" s="64" t="s">
        <v>19</v>
      </c>
      <c r="M515" s="64" t="s">
        <v>19</v>
      </c>
      <c r="N515" s="101">
        <v>0.72986111111111107</v>
      </c>
      <c r="O515" s="29" t="s">
        <v>1474</v>
      </c>
      <c r="P515" s="29" t="s">
        <v>30</v>
      </c>
    </row>
    <row r="516" spans="1:16">
      <c r="A516" s="29">
        <f t="shared" si="7"/>
        <v>515</v>
      </c>
      <c r="B516" s="75">
        <v>46098</v>
      </c>
      <c r="C516" s="63" t="s">
        <v>1268</v>
      </c>
      <c r="D516" s="63" t="s">
        <v>39</v>
      </c>
      <c r="E516" s="101">
        <v>0.69791666666666663</v>
      </c>
      <c r="F516" s="64" t="str">
        <f>VLOOKUP(G516,'Vehicle List'!A:C,3,0)</f>
        <v>Chaudhary Transport</v>
      </c>
      <c r="G516" s="29" t="s">
        <v>1099</v>
      </c>
      <c r="H516" s="29" t="s">
        <v>1868</v>
      </c>
      <c r="I516" s="29" t="s">
        <v>1555</v>
      </c>
      <c r="J516" s="64" t="str">
        <f>VLOOKUP(G516,'Vehicle List'!A:D,4,0)</f>
        <v>KNCP</v>
      </c>
      <c r="K516" s="64" t="s">
        <v>26</v>
      </c>
      <c r="L516" s="64" t="s">
        <v>19</v>
      </c>
      <c r="M516" s="64" t="s">
        <v>20</v>
      </c>
      <c r="N516" s="101">
        <v>0.74236111111111114</v>
      </c>
      <c r="O516" s="29" t="s">
        <v>1286</v>
      </c>
      <c r="P516" s="29" t="s">
        <v>21</v>
      </c>
    </row>
    <row r="517" spans="1:16">
      <c r="A517" s="29">
        <f t="shared" ref="A517:A542" si="8">A516+1</f>
        <v>516</v>
      </c>
      <c r="B517" s="75">
        <v>46098</v>
      </c>
      <c r="C517" s="63" t="s">
        <v>1268</v>
      </c>
      <c r="D517" s="63" t="s">
        <v>39</v>
      </c>
      <c r="E517" s="101">
        <v>0.7416666666666667</v>
      </c>
      <c r="F517" s="64" t="str">
        <f>VLOOKUP(G517,'Vehicle List'!A:C,3,0)</f>
        <v>Anisha Logistics</v>
      </c>
      <c r="G517" s="29" t="s">
        <v>51</v>
      </c>
      <c r="H517" s="29" t="s">
        <v>1867</v>
      </c>
      <c r="I517" s="29" t="s">
        <v>1762</v>
      </c>
      <c r="J517" s="64" t="str">
        <f>VLOOKUP(G517,'Vehicle List'!A:D,4,0)</f>
        <v>BJJ</v>
      </c>
      <c r="K517" s="64" t="s">
        <v>1174</v>
      </c>
      <c r="L517" s="64" t="s">
        <v>19</v>
      </c>
      <c r="M517" s="64" t="s">
        <v>20</v>
      </c>
      <c r="N517" s="101">
        <v>0.71875</v>
      </c>
      <c r="O517" s="29" t="s">
        <v>1078</v>
      </c>
      <c r="P517" s="29" t="s">
        <v>21</v>
      </c>
    </row>
    <row r="518" spans="1:16">
      <c r="A518" s="29">
        <f t="shared" si="8"/>
        <v>517</v>
      </c>
      <c r="B518" s="75">
        <v>46098</v>
      </c>
      <c r="C518" s="63" t="s">
        <v>1268</v>
      </c>
      <c r="D518" s="63" t="s">
        <v>39</v>
      </c>
      <c r="E518" s="101">
        <v>0.78541666666666665</v>
      </c>
      <c r="F518" s="64" t="str">
        <f>VLOOKUP(G518,'Vehicle List'!A:C,3,0)</f>
        <v>Rahul Roadlines</v>
      </c>
      <c r="G518" s="29" t="s">
        <v>1133</v>
      </c>
      <c r="H518" s="29" t="s">
        <v>1864</v>
      </c>
      <c r="I518" s="29" t="s">
        <v>1865</v>
      </c>
      <c r="J518" s="64" t="str">
        <f>VLOOKUP(G518,'Vehicle List'!A:D,4,0)</f>
        <v>UHS</v>
      </c>
      <c r="K518" s="64" t="s">
        <v>26</v>
      </c>
      <c r="L518" s="64" t="s">
        <v>19</v>
      </c>
      <c r="M518" s="64" t="s">
        <v>20</v>
      </c>
      <c r="N518" s="101">
        <v>0.72777777777777775</v>
      </c>
      <c r="O518" s="29" t="s">
        <v>1866</v>
      </c>
      <c r="P518" s="29" t="s">
        <v>21</v>
      </c>
    </row>
    <row r="519" spans="1:16">
      <c r="A519" s="29">
        <f t="shared" si="8"/>
        <v>518</v>
      </c>
      <c r="B519" s="75">
        <v>46098</v>
      </c>
      <c r="C519" s="63" t="s">
        <v>1268</v>
      </c>
      <c r="D519" s="63" t="s">
        <v>39</v>
      </c>
      <c r="E519" s="101">
        <v>0.79513888888888884</v>
      </c>
      <c r="F519" s="64" t="str">
        <f>VLOOKUP(G519,'Vehicle List'!A:C,3,0)</f>
        <v>Chaudhary Transport</v>
      </c>
      <c r="G519" s="29" t="s">
        <v>1160</v>
      </c>
      <c r="H519" s="29" t="s">
        <v>1863</v>
      </c>
      <c r="I519" s="29" t="s">
        <v>1629</v>
      </c>
      <c r="J519" s="64" t="str">
        <f>VLOOKUP(G519,'Vehicle List'!A:D,4,0)</f>
        <v>KNCP</v>
      </c>
      <c r="K519" s="64" t="s">
        <v>26</v>
      </c>
      <c r="L519" s="64" t="s">
        <v>19</v>
      </c>
      <c r="M519" s="64" t="s">
        <v>20</v>
      </c>
      <c r="N519" s="101">
        <v>0.8256944444444444</v>
      </c>
      <c r="O519" s="29" t="s">
        <v>1286</v>
      </c>
      <c r="P519" s="29" t="s">
        <v>21</v>
      </c>
    </row>
    <row r="520" spans="1:16">
      <c r="A520" s="29">
        <f t="shared" si="8"/>
        <v>519</v>
      </c>
      <c r="B520" s="75">
        <v>46098</v>
      </c>
      <c r="C520" s="63" t="s">
        <v>1268</v>
      </c>
      <c r="D520" s="63" t="s">
        <v>39</v>
      </c>
      <c r="E520" s="101">
        <v>0.8305555555555556</v>
      </c>
      <c r="F520" s="64" t="str">
        <f>VLOOKUP(G520,'Vehicle List'!A:C,3,0)</f>
        <v>Kongunadu Roadlines</v>
      </c>
      <c r="G520" s="29" t="s">
        <v>303</v>
      </c>
      <c r="H520" s="29" t="s">
        <v>1861</v>
      </c>
      <c r="I520" s="29" t="s">
        <v>1862</v>
      </c>
      <c r="J520" s="64" t="str">
        <f>VLOOKUP(G520,'Vehicle List'!A:D,4,0)</f>
        <v>AKT</v>
      </c>
      <c r="K520" s="64" t="s">
        <v>26</v>
      </c>
      <c r="L520" s="64" t="s">
        <v>19</v>
      </c>
      <c r="M520" s="64" t="s">
        <v>20</v>
      </c>
      <c r="N520" s="101">
        <v>0.86111111111111116</v>
      </c>
      <c r="O520" s="29" t="s">
        <v>1227</v>
      </c>
      <c r="P520" s="29" t="s">
        <v>21</v>
      </c>
    </row>
    <row r="521" spans="1:16">
      <c r="A521" s="29">
        <f t="shared" si="8"/>
        <v>520</v>
      </c>
      <c r="B521" s="75">
        <v>46098</v>
      </c>
      <c r="C521" s="63" t="s">
        <v>85</v>
      </c>
      <c r="D521" s="63" t="s">
        <v>16</v>
      </c>
      <c r="E521" s="101">
        <v>0.97916666666666663</v>
      </c>
      <c r="F521" s="64" t="str">
        <f>VLOOKUP(G521,'Vehicle List'!A:C,3,0)</f>
        <v>Kongunadu Roadlines</v>
      </c>
      <c r="G521" s="29" t="s">
        <v>591</v>
      </c>
      <c r="H521" s="29" t="s">
        <v>1773</v>
      </c>
      <c r="I521" s="29" t="s">
        <v>1519</v>
      </c>
      <c r="J521" s="64" t="str">
        <f>VLOOKUP(G521,'Vehicle List'!A:D,4,0)</f>
        <v>Kochi</v>
      </c>
      <c r="K521" s="64" t="s">
        <v>18</v>
      </c>
      <c r="L521" s="64" t="s">
        <v>19</v>
      </c>
      <c r="M521" s="64" t="s">
        <v>20</v>
      </c>
      <c r="N521" s="101">
        <v>0.99930555555555556</v>
      </c>
      <c r="O521" s="29" t="s">
        <v>1244</v>
      </c>
      <c r="P521" s="29" t="s">
        <v>21</v>
      </c>
    </row>
    <row r="522" spans="1:16">
      <c r="A522" s="29">
        <f t="shared" si="8"/>
        <v>521</v>
      </c>
      <c r="B522" s="75">
        <v>46099</v>
      </c>
      <c r="C522" s="63" t="s">
        <v>85</v>
      </c>
      <c r="D522" s="63" t="s">
        <v>16</v>
      </c>
      <c r="E522" s="101">
        <v>8.3333333333333329E-2</v>
      </c>
      <c r="F522" s="64" t="str">
        <f>VLOOKUP(G522,'Vehicle List'!A:C,3,0)</f>
        <v>Sritransways Logistics</v>
      </c>
      <c r="G522" s="29" t="s">
        <v>17</v>
      </c>
      <c r="H522" s="29" t="s">
        <v>1877</v>
      </c>
      <c r="I522" s="29" t="s">
        <v>1878</v>
      </c>
      <c r="J522" s="64" t="str">
        <f>VLOOKUP(G522,'Vehicle List'!A:D,4,0)</f>
        <v>AKT</v>
      </c>
      <c r="K522" s="64" t="s">
        <v>1171</v>
      </c>
      <c r="L522" s="64" t="s">
        <v>19</v>
      </c>
      <c r="M522" s="64" t="s">
        <v>20</v>
      </c>
      <c r="N522" s="101">
        <v>0.11458333333333333</v>
      </c>
      <c r="O522" s="29" t="s">
        <v>1227</v>
      </c>
      <c r="P522" s="29" t="s">
        <v>21</v>
      </c>
    </row>
    <row r="523" spans="1:16">
      <c r="A523" s="29">
        <f t="shared" si="8"/>
        <v>522</v>
      </c>
      <c r="B523" s="75">
        <v>46099</v>
      </c>
      <c r="C523" s="63" t="s">
        <v>85</v>
      </c>
      <c r="D523" s="63" t="s">
        <v>16</v>
      </c>
      <c r="E523" s="101">
        <v>0.10069444444444445</v>
      </c>
      <c r="F523" s="64" t="str">
        <f>VLOOKUP(G523,'Vehicle List'!A:C,3,0)</f>
        <v>Kongunadu Roadlines</v>
      </c>
      <c r="G523" s="29" t="s">
        <v>435</v>
      </c>
      <c r="H523" s="29" t="s">
        <v>1875</v>
      </c>
      <c r="I523" s="29" t="s">
        <v>1876</v>
      </c>
      <c r="J523" s="64" t="str">
        <f>VLOOKUP(G523,'Vehicle List'!A:D,4,0)</f>
        <v>Vellore</v>
      </c>
      <c r="K523" s="64" t="s">
        <v>1171</v>
      </c>
      <c r="L523" s="64" t="s">
        <v>19</v>
      </c>
      <c r="M523" s="64" t="s">
        <v>20</v>
      </c>
      <c r="N523" s="101">
        <v>0.12083333333333333</v>
      </c>
      <c r="O523" s="29" t="s">
        <v>1674</v>
      </c>
      <c r="P523" s="29" t="s">
        <v>21</v>
      </c>
    </row>
    <row r="524" spans="1:16">
      <c r="A524" s="29">
        <f t="shared" si="8"/>
        <v>523</v>
      </c>
      <c r="B524" s="75">
        <v>46099</v>
      </c>
      <c r="C524" s="63" t="s">
        <v>85</v>
      </c>
      <c r="D524" s="63" t="s">
        <v>16</v>
      </c>
      <c r="E524" s="101">
        <v>0.10138888888888889</v>
      </c>
      <c r="F524" s="64" t="str">
        <f>VLOOKUP(G524,'Vehicle List'!A:C,3,0)</f>
        <v>Sritransways Logistics</v>
      </c>
      <c r="G524" s="29" t="s">
        <v>42</v>
      </c>
      <c r="H524" s="29" t="s">
        <v>1429</v>
      </c>
      <c r="I524" s="29" t="s">
        <v>1430</v>
      </c>
      <c r="J524" s="64" t="str">
        <f>VLOOKUP(G524,'Vehicle List'!A:D,4,0)</f>
        <v>AKT</v>
      </c>
      <c r="K524" s="64" t="s">
        <v>29</v>
      </c>
      <c r="L524" s="64" t="s">
        <v>19</v>
      </c>
      <c r="M524" s="64" t="s">
        <v>19</v>
      </c>
      <c r="N524" s="101">
        <v>0.10138888888888889</v>
      </c>
      <c r="O524" s="29" t="s">
        <v>1260</v>
      </c>
      <c r="P524" s="29" t="s">
        <v>30</v>
      </c>
    </row>
    <row r="525" spans="1:16">
      <c r="A525" s="29">
        <f t="shared" si="8"/>
        <v>524</v>
      </c>
      <c r="B525" s="75">
        <v>46099</v>
      </c>
      <c r="C525" s="63" t="s">
        <v>85</v>
      </c>
      <c r="D525" s="63" t="s">
        <v>16</v>
      </c>
      <c r="E525" s="101">
        <v>0.15694444444444444</v>
      </c>
      <c r="F525" s="64" t="str">
        <f>VLOOKUP(G525,'Vehicle List'!A:C,3,0)</f>
        <v>Oraya Gas India Pvt.Ltd.</v>
      </c>
      <c r="G525" s="29" t="s">
        <v>100</v>
      </c>
      <c r="H525" s="29" t="s">
        <v>1879</v>
      </c>
      <c r="I525" s="29" t="s">
        <v>1880</v>
      </c>
      <c r="J525" s="64" t="str">
        <f>VLOOKUP(G525,'Vehicle List'!A:D,4,0)</f>
        <v>Dahej</v>
      </c>
      <c r="K525" s="64" t="s">
        <v>29</v>
      </c>
      <c r="L525" s="64" t="s">
        <v>19</v>
      </c>
      <c r="M525" s="64" t="s">
        <v>19</v>
      </c>
      <c r="N525" s="101">
        <v>0.15694444444444444</v>
      </c>
      <c r="O525" s="29" t="s">
        <v>1260</v>
      </c>
      <c r="P525" s="29" t="s">
        <v>30</v>
      </c>
    </row>
    <row r="526" spans="1:16">
      <c r="A526" s="29">
        <f t="shared" si="8"/>
        <v>525</v>
      </c>
      <c r="B526" s="75">
        <v>46099</v>
      </c>
      <c r="C526" s="63" t="s">
        <v>85</v>
      </c>
      <c r="D526" s="63" t="s">
        <v>16</v>
      </c>
      <c r="E526" s="101">
        <v>0.20555555555555555</v>
      </c>
      <c r="F526" s="64" t="str">
        <f>VLOOKUP(G526,'Vehicle List'!A:C,3,0)</f>
        <v>Rahul Roadlines</v>
      </c>
      <c r="G526" s="29" t="s">
        <v>631</v>
      </c>
      <c r="H526" s="29" t="s">
        <v>1885</v>
      </c>
      <c r="I526" s="29" t="s">
        <v>1815</v>
      </c>
      <c r="J526" s="64" t="str">
        <f>VLOOKUP(G526,'Vehicle List'!A:D,4,0)</f>
        <v>Dahej</v>
      </c>
      <c r="K526" s="64" t="s">
        <v>1171</v>
      </c>
      <c r="L526" s="64" t="s">
        <v>19</v>
      </c>
      <c r="M526" s="64" t="s">
        <v>20</v>
      </c>
      <c r="N526" s="101">
        <v>0.21666666666666667</v>
      </c>
      <c r="O526" s="29" t="s">
        <v>1124</v>
      </c>
      <c r="P526" s="29" t="s">
        <v>21</v>
      </c>
    </row>
    <row r="527" spans="1:16">
      <c r="A527" s="29">
        <f t="shared" si="8"/>
        <v>526</v>
      </c>
      <c r="B527" s="75">
        <v>46099</v>
      </c>
      <c r="C527" s="63" t="s">
        <v>85</v>
      </c>
      <c r="D527" s="63" t="s">
        <v>16</v>
      </c>
      <c r="E527" s="101">
        <v>0.20902777777777778</v>
      </c>
      <c r="F527" s="64" t="str">
        <f>VLOOKUP(G527,'Vehicle List'!A:C,3,0)</f>
        <v>Expo Trans India Limited</v>
      </c>
      <c r="G527" s="29" t="s">
        <v>87</v>
      </c>
      <c r="H527" s="29" t="s">
        <v>1883</v>
      </c>
      <c r="I527" s="29" t="s">
        <v>1884</v>
      </c>
      <c r="J527" s="64" t="str">
        <f>VLOOKUP(G527,'Vehicle List'!A:D,4,0)</f>
        <v>ANK</v>
      </c>
      <c r="K527" s="64" t="s">
        <v>1171</v>
      </c>
      <c r="L527" s="64" t="s">
        <v>19</v>
      </c>
      <c r="M527" s="64" t="s">
        <v>20</v>
      </c>
      <c r="N527" s="101">
        <v>0.22013888888888888</v>
      </c>
      <c r="O527" s="29" t="s">
        <v>1351</v>
      </c>
      <c r="P527" s="29" t="s">
        <v>21</v>
      </c>
    </row>
    <row r="528" spans="1:16">
      <c r="A528" s="29">
        <f t="shared" si="8"/>
        <v>527</v>
      </c>
      <c r="B528" s="75">
        <v>46099</v>
      </c>
      <c r="C528" s="63" t="s">
        <v>85</v>
      </c>
      <c r="D528" s="63" t="s">
        <v>16</v>
      </c>
      <c r="E528" s="101">
        <v>0.2076388888888889</v>
      </c>
      <c r="F528" s="64" t="str">
        <f>VLOOKUP(G528,'Vehicle List'!A:C,3,0)</f>
        <v>Sritransways Logistics</v>
      </c>
      <c r="G528" s="29" t="s">
        <v>574</v>
      </c>
      <c r="H528" s="29" t="s">
        <v>1881</v>
      </c>
      <c r="I528" s="29" t="s">
        <v>1882</v>
      </c>
      <c r="J528" s="64" t="str">
        <f>VLOOKUP(G528,'Vehicle List'!A:D,4,0)</f>
        <v>AKT</v>
      </c>
      <c r="K528" s="64" t="s">
        <v>24</v>
      </c>
      <c r="L528" s="64" t="s">
        <v>19</v>
      </c>
      <c r="M528" s="64" t="s">
        <v>20</v>
      </c>
      <c r="N528" s="101">
        <v>0.23472222222222222</v>
      </c>
      <c r="O528" s="29" t="s">
        <v>1227</v>
      </c>
      <c r="P528" s="29" t="s">
        <v>21</v>
      </c>
    </row>
    <row r="529" spans="1:16">
      <c r="A529" s="29">
        <f t="shared" si="8"/>
        <v>528</v>
      </c>
      <c r="B529" s="75">
        <v>46099</v>
      </c>
      <c r="C529" s="63" t="s">
        <v>1268</v>
      </c>
      <c r="D529" s="63" t="s">
        <v>28</v>
      </c>
      <c r="E529" s="101">
        <v>0.2673611111111111</v>
      </c>
      <c r="F529" s="64" t="str">
        <f>VLOOKUP(G529,'Vehicle List'!A:C,3,0)</f>
        <v>Anisha Logistics</v>
      </c>
      <c r="G529" s="29" t="s">
        <v>515</v>
      </c>
      <c r="H529" s="29" t="s">
        <v>1781</v>
      </c>
      <c r="I529" s="29" t="s">
        <v>1782</v>
      </c>
      <c r="J529" s="64" t="str">
        <f>VLOOKUP(G529,'Vehicle List'!A:D,4,0)</f>
        <v>Jalandhar</v>
      </c>
      <c r="K529" s="64" t="s">
        <v>29</v>
      </c>
      <c r="L529" s="64" t="s">
        <v>19</v>
      </c>
      <c r="M529" s="64" t="s">
        <v>19</v>
      </c>
      <c r="N529" s="101">
        <v>0.2673611111111111</v>
      </c>
      <c r="O529" s="29" t="s">
        <v>1673</v>
      </c>
      <c r="P529" s="29" t="s">
        <v>30</v>
      </c>
    </row>
    <row r="530" spans="1:16">
      <c r="A530" s="29">
        <f t="shared" si="8"/>
        <v>529</v>
      </c>
      <c r="B530" s="75">
        <v>46099</v>
      </c>
      <c r="C530" s="63" t="s">
        <v>1268</v>
      </c>
      <c r="D530" s="63" t="s">
        <v>28</v>
      </c>
      <c r="E530" s="101">
        <v>0.27152777777777776</v>
      </c>
      <c r="F530" s="64" t="s">
        <v>1126</v>
      </c>
      <c r="G530" s="29" t="s">
        <v>1776</v>
      </c>
      <c r="H530" s="29" t="s">
        <v>1778</v>
      </c>
      <c r="I530" s="29" t="s">
        <v>1777</v>
      </c>
      <c r="J530" s="64" t="s">
        <v>586</v>
      </c>
      <c r="K530" s="64" t="s">
        <v>29</v>
      </c>
      <c r="L530" s="64" t="s">
        <v>19</v>
      </c>
      <c r="M530" s="64" t="s">
        <v>19</v>
      </c>
      <c r="N530" s="101">
        <v>0.27152777777777776</v>
      </c>
      <c r="O530" s="29" t="s">
        <v>1673</v>
      </c>
      <c r="P530" s="29" t="s">
        <v>21</v>
      </c>
    </row>
    <row r="531" spans="1:16">
      <c r="A531" s="29">
        <f t="shared" si="8"/>
        <v>530</v>
      </c>
      <c r="B531" s="75">
        <v>46099</v>
      </c>
      <c r="C531" s="63" t="s">
        <v>1268</v>
      </c>
      <c r="D531" s="63" t="s">
        <v>28</v>
      </c>
      <c r="E531" s="101">
        <v>0.26597222222222222</v>
      </c>
      <c r="F531" s="64" t="str">
        <f>VLOOKUP(G531,'Vehicle List'!A:C,3,0)</f>
        <v>Expo Trans India Limited</v>
      </c>
      <c r="G531" s="29" t="s">
        <v>293</v>
      </c>
      <c r="H531" s="29" t="s">
        <v>1889</v>
      </c>
      <c r="I531" s="29" t="s">
        <v>1890</v>
      </c>
      <c r="J531" s="64" t="str">
        <f>VLOOKUP(G531,'Vehicle List'!A:D,4,0)</f>
        <v>MMC</v>
      </c>
      <c r="K531" s="64" t="s">
        <v>24</v>
      </c>
      <c r="L531" s="64" t="s">
        <v>19</v>
      </c>
      <c r="M531" s="64" t="s">
        <v>20</v>
      </c>
      <c r="N531" s="101">
        <v>0.43472222222222223</v>
      </c>
      <c r="O531" s="29" t="s">
        <v>1674</v>
      </c>
      <c r="P531" s="29" t="s">
        <v>21</v>
      </c>
    </row>
    <row r="532" spans="1:16">
      <c r="A532" s="29">
        <f t="shared" si="8"/>
        <v>531</v>
      </c>
      <c r="B532" s="75">
        <v>46099</v>
      </c>
      <c r="C532" s="63" t="s">
        <v>1268</v>
      </c>
      <c r="D532" s="63" t="s">
        <v>28</v>
      </c>
      <c r="E532" s="101">
        <v>0.28125</v>
      </c>
      <c r="F532" s="64" t="str">
        <f>VLOOKUP(G532,'Vehicle List'!A:C,3,0)</f>
        <v>Velan Gogreen Logistics Pvt Ltd</v>
      </c>
      <c r="G532" s="29" t="s">
        <v>416</v>
      </c>
      <c r="H532" s="29" t="s">
        <v>1888</v>
      </c>
      <c r="I532" s="29" t="s">
        <v>1795</v>
      </c>
      <c r="J532" s="64" t="str">
        <f>VLOOKUP(G532,'Vehicle List'!A:D,4,0)</f>
        <v>KNCP</v>
      </c>
      <c r="K532" s="64" t="s">
        <v>29</v>
      </c>
      <c r="L532" s="64" t="s">
        <v>19</v>
      </c>
      <c r="M532" s="64" t="s">
        <v>19</v>
      </c>
      <c r="N532" s="101">
        <v>0.28125</v>
      </c>
      <c r="O532" s="29" t="s">
        <v>1195</v>
      </c>
      <c r="P532" s="29" t="s">
        <v>30</v>
      </c>
    </row>
    <row r="533" spans="1:16">
      <c r="A533" s="29">
        <f t="shared" si="8"/>
        <v>532</v>
      </c>
      <c r="B533" s="75">
        <v>46099</v>
      </c>
      <c r="C533" s="63" t="s">
        <v>1268</v>
      </c>
      <c r="D533" s="63" t="s">
        <v>28</v>
      </c>
      <c r="E533" s="101">
        <v>0.26597222222222222</v>
      </c>
      <c r="F533" s="64" t="str">
        <f>VLOOKUP(G533,'Vehicle List'!A:C,3,0)</f>
        <v>Expo Trans India Limited</v>
      </c>
      <c r="G533" s="29" t="s">
        <v>1107</v>
      </c>
      <c r="H533" s="29" t="s">
        <v>1585</v>
      </c>
      <c r="I533" s="29" t="s">
        <v>1586</v>
      </c>
      <c r="J533" s="64" t="str">
        <f>VLOOKUP(G533,'Vehicle List'!A:D,4,0)</f>
        <v>Dahej</v>
      </c>
      <c r="K533" s="64" t="s">
        <v>26</v>
      </c>
      <c r="L533" s="64" t="s">
        <v>19</v>
      </c>
      <c r="M533" s="64" t="s">
        <v>20</v>
      </c>
      <c r="N533" s="101">
        <v>0.39097222222222222</v>
      </c>
      <c r="O533" s="29" t="s">
        <v>1124</v>
      </c>
      <c r="P533" s="29" t="s">
        <v>21</v>
      </c>
    </row>
    <row r="534" spans="1:16">
      <c r="A534" s="29">
        <f t="shared" si="8"/>
        <v>533</v>
      </c>
      <c r="B534" s="75">
        <v>46099</v>
      </c>
      <c r="C534" s="63" t="s">
        <v>1268</v>
      </c>
      <c r="D534" s="63" t="s">
        <v>28</v>
      </c>
      <c r="E534" s="101">
        <v>0.26250000000000001</v>
      </c>
      <c r="F534" s="64" t="str">
        <f>VLOOKUP(G534,'Vehicle List'!A:C,3,0)</f>
        <v>Anisha Logistics</v>
      </c>
      <c r="G534" s="29" t="s">
        <v>51</v>
      </c>
      <c r="H534" s="29" t="s">
        <v>1867</v>
      </c>
      <c r="I534" s="29" t="s">
        <v>1762</v>
      </c>
      <c r="J534" s="64" t="str">
        <f>VLOOKUP(G534,'Vehicle List'!A:D,4,0)</f>
        <v>BJJ</v>
      </c>
      <c r="K534" s="64" t="s">
        <v>1174</v>
      </c>
      <c r="L534" s="64" t="s">
        <v>19</v>
      </c>
      <c r="M534" s="64" t="s">
        <v>20</v>
      </c>
      <c r="N534" s="101">
        <v>0.39583333333333331</v>
      </c>
      <c r="O534" s="29" t="s">
        <v>1078</v>
      </c>
      <c r="P534" s="29" t="s">
        <v>21</v>
      </c>
    </row>
    <row r="535" spans="1:16">
      <c r="A535" s="29">
        <f t="shared" si="8"/>
        <v>534</v>
      </c>
      <c r="B535" s="75">
        <v>46099</v>
      </c>
      <c r="C535" s="63" t="s">
        <v>1268</v>
      </c>
      <c r="D535" s="63" t="s">
        <v>28</v>
      </c>
      <c r="E535" s="101">
        <v>0.32500000000000001</v>
      </c>
      <c r="F535" s="64" t="str">
        <f>VLOOKUP(G535,'Vehicle List'!A:C,3,0)</f>
        <v>Expo Trans India Limited</v>
      </c>
      <c r="G535" s="29" t="s">
        <v>97</v>
      </c>
      <c r="H535" s="29" t="s">
        <v>1805</v>
      </c>
      <c r="I535" s="29" t="s">
        <v>1806</v>
      </c>
      <c r="J535" s="64" t="str">
        <f>VLOOKUP(G535,'Vehicle List'!A:D,4,0)</f>
        <v>Vellore</v>
      </c>
      <c r="K535" s="64" t="s">
        <v>29</v>
      </c>
      <c r="L535" s="64" t="s">
        <v>19</v>
      </c>
      <c r="M535" s="64" t="s">
        <v>19</v>
      </c>
      <c r="N535" s="101">
        <v>0.32500000000000001</v>
      </c>
      <c r="O535" s="29" t="s">
        <v>1284</v>
      </c>
      <c r="P535" s="29" t="s">
        <v>30</v>
      </c>
    </row>
    <row r="536" spans="1:16">
      <c r="A536" s="29">
        <f t="shared" si="8"/>
        <v>535</v>
      </c>
      <c r="B536" s="75">
        <v>46099</v>
      </c>
      <c r="C536" s="63" t="s">
        <v>1268</v>
      </c>
      <c r="D536" s="63" t="s">
        <v>28</v>
      </c>
      <c r="E536" s="101">
        <v>0.30486111111111114</v>
      </c>
      <c r="F536" s="64" t="str">
        <f>VLOOKUP(G536,'Vehicle List'!A:C,3,0)</f>
        <v>Anisha Logistics</v>
      </c>
      <c r="G536" s="29" t="s">
        <v>51</v>
      </c>
      <c r="H536" s="29" t="s">
        <v>1867</v>
      </c>
      <c r="I536" s="29" t="s">
        <v>1762</v>
      </c>
      <c r="J536" s="64" t="str">
        <f>VLOOKUP(G536,'Vehicle List'!A:D,4,0)</f>
        <v>BJJ</v>
      </c>
      <c r="K536" s="64" t="s">
        <v>24</v>
      </c>
      <c r="L536" s="64" t="s">
        <v>19</v>
      </c>
      <c r="M536" s="64" t="s">
        <v>20</v>
      </c>
      <c r="N536" s="101">
        <v>0.3972222222222222</v>
      </c>
      <c r="O536" s="29" t="s">
        <v>1078</v>
      </c>
      <c r="P536" s="29" t="s">
        <v>21</v>
      </c>
    </row>
    <row r="537" spans="1:16">
      <c r="A537" s="29">
        <f t="shared" si="8"/>
        <v>536</v>
      </c>
      <c r="B537" s="75">
        <v>46099</v>
      </c>
      <c r="C537" s="63" t="s">
        <v>1268</v>
      </c>
      <c r="D537" s="63" t="s">
        <v>28</v>
      </c>
      <c r="E537" s="101">
        <v>0.34930555555555554</v>
      </c>
      <c r="F537" s="64" t="str">
        <f>VLOOKUP(G537,'Vehicle List'!A:C,3,0)</f>
        <v>Kongunadu Roadlines</v>
      </c>
      <c r="G537" s="29" t="s">
        <v>591</v>
      </c>
      <c r="H537" s="29" t="s">
        <v>1773</v>
      </c>
      <c r="I537" s="29" t="s">
        <v>1519</v>
      </c>
      <c r="J537" s="64" t="str">
        <f>VLOOKUP(G537,'Vehicle List'!A:D,4,0)</f>
        <v>Kochi</v>
      </c>
      <c r="K537" s="64" t="s">
        <v>29</v>
      </c>
      <c r="L537" s="64" t="s">
        <v>19</v>
      </c>
      <c r="M537" s="64" t="s">
        <v>19</v>
      </c>
      <c r="N537" s="101">
        <v>0.34930555555555554</v>
      </c>
      <c r="O537" s="29" t="s">
        <v>1887</v>
      </c>
      <c r="P537" s="29" t="s">
        <v>21</v>
      </c>
    </row>
    <row r="538" spans="1:16">
      <c r="A538" s="29">
        <f t="shared" si="8"/>
        <v>537</v>
      </c>
      <c r="B538" s="75">
        <v>46099</v>
      </c>
      <c r="C538" s="63" t="s">
        <v>1268</v>
      </c>
      <c r="D538" s="63" t="s">
        <v>28</v>
      </c>
      <c r="E538" s="101">
        <v>0.40625</v>
      </c>
      <c r="F538" s="64" t="str">
        <f>VLOOKUP(G538,'Vehicle List'!A:C,3,0)</f>
        <v>Kongunadu Roadlines</v>
      </c>
      <c r="G538" s="29" t="s">
        <v>36</v>
      </c>
      <c r="H538" s="29" t="s">
        <v>1369</v>
      </c>
      <c r="I538" s="29" t="s">
        <v>1370</v>
      </c>
      <c r="J538" s="64" t="str">
        <f>VLOOKUP(G538,'Vehicle List'!A:D,4,0)</f>
        <v>KNCP</v>
      </c>
      <c r="K538" s="64" t="s">
        <v>29</v>
      </c>
      <c r="L538" s="64" t="s">
        <v>19</v>
      </c>
      <c r="M538" s="64" t="s">
        <v>19</v>
      </c>
      <c r="N538" s="101">
        <v>0.40625</v>
      </c>
      <c r="O538" s="29" t="s">
        <v>1224</v>
      </c>
      <c r="P538" s="29" t="s">
        <v>30</v>
      </c>
    </row>
    <row r="539" spans="1:16">
      <c r="A539" s="29">
        <f t="shared" si="8"/>
        <v>538</v>
      </c>
      <c r="B539" s="75">
        <v>46099</v>
      </c>
      <c r="C539" s="63" t="s">
        <v>1268</v>
      </c>
      <c r="D539" s="63" t="s">
        <v>28</v>
      </c>
      <c r="E539" s="101">
        <v>0.46250000000000002</v>
      </c>
      <c r="F539" s="64" t="str">
        <f>VLOOKUP(G539,'Vehicle List'!A:C,3,0)</f>
        <v>Kongunadu Roadlines</v>
      </c>
      <c r="G539" s="29" t="s">
        <v>606</v>
      </c>
      <c r="H539" s="29" t="s">
        <v>1263</v>
      </c>
      <c r="I539" s="29" t="s">
        <v>1262</v>
      </c>
      <c r="J539" s="64" t="str">
        <f>VLOOKUP(G539,'Vehicle List'!A:D,4,0)</f>
        <v>Ennore</v>
      </c>
      <c r="K539" s="64" t="s">
        <v>29</v>
      </c>
      <c r="L539" s="64" t="s">
        <v>19</v>
      </c>
      <c r="M539" s="64" t="s">
        <v>19</v>
      </c>
      <c r="N539" s="101">
        <v>0.46250000000000002</v>
      </c>
      <c r="O539" s="29" t="s">
        <v>1886</v>
      </c>
      <c r="P539" s="29" t="s">
        <v>21</v>
      </c>
    </row>
    <row r="540" spans="1:16">
      <c r="A540" s="29">
        <f t="shared" si="8"/>
        <v>539</v>
      </c>
      <c r="B540" s="75">
        <v>46099</v>
      </c>
      <c r="C540" s="63" t="s">
        <v>1268</v>
      </c>
      <c r="D540" s="63" t="s">
        <v>28</v>
      </c>
      <c r="E540" s="101">
        <v>0.50972222222222219</v>
      </c>
      <c r="F540" s="64" t="str">
        <f>VLOOKUP(G540,'Vehicle List'!A:C,3,0)</f>
        <v>Expo Trans India Limited</v>
      </c>
      <c r="G540" s="29" t="s">
        <v>1107</v>
      </c>
      <c r="H540" s="29" t="s">
        <v>1585</v>
      </c>
      <c r="I540" s="29" t="s">
        <v>1586</v>
      </c>
      <c r="J540" s="64" t="str">
        <f>VLOOKUP(G540,'Vehicle List'!A:D,4,0)</f>
        <v>Dahej</v>
      </c>
      <c r="K540" s="64" t="s">
        <v>29</v>
      </c>
      <c r="L540" s="64" t="s">
        <v>19</v>
      </c>
      <c r="M540" s="64" t="s">
        <v>19</v>
      </c>
      <c r="N540" s="101">
        <v>0.50972222222222219</v>
      </c>
      <c r="O540" s="29" t="s">
        <v>1195</v>
      </c>
      <c r="P540" s="29" t="s">
        <v>30</v>
      </c>
    </row>
    <row r="541" spans="1:16">
      <c r="A541" s="29">
        <f t="shared" si="8"/>
        <v>540</v>
      </c>
      <c r="B541" s="75">
        <v>46099</v>
      </c>
      <c r="C541" s="63" t="s">
        <v>1268</v>
      </c>
      <c r="D541" s="63" t="s">
        <v>28</v>
      </c>
      <c r="E541" s="101">
        <v>0.51180555555555551</v>
      </c>
      <c r="F541" s="64" t="str">
        <f>VLOOKUP(G541,'Vehicle List'!A:C,3,0)</f>
        <v>Sritransways Logistics</v>
      </c>
      <c r="G541" s="29" t="s">
        <v>89</v>
      </c>
      <c r="H541" s="29" t="s">
        <v>809</v>
      </c>
      <c r="I541" s="29" t="s">
        <v>810</v>
      </c>
      <c r="J541" s="64" t="str">
        <f>VLOOKUP(G541,'Vehicle List'!A:D,4,0)</f>
        <v>AKT</v>
      </c>
      <c r="K541" s="64" t="s">
        <v>29</v>
      </c>
      <c r="L541" s="64" t="s">
        <v>19</v>
      </c>
      <c r="M541" s="64" t="s">
        <v>19</v>
      </c>
      <c r="N541" s="101">
        <v>0.51180555555555551</v>
      </c>
      <c r="O541" s="29" t="s">
        <v>1284</v>
      </c>
      <c r="P541" s="29" t="s">
        <v>30</v>
      </c>
    </row>
    <row r="542" spans="1:16">
      <c r="A542" s="29">
        <f t="shared" si="8"/>
        <v>541</v>
      </c>
      <c r="B542" s="75">
        <v>46099</v>
      </c>
      <c r="C542" s="63" t="s">
        <v>1268</v>
      </c>
      <c r="D542" s="63" t="s">
        <v>28</v>
      </c>
      <c r="E542" s="101">
        <v>0.53541666666666665</v>
      </c>
      <c r="F542" s="64" t="str">
        <f>VLOOKUP(G542,'Vehicle List'!A:C,3,0)</f>
        <v>Oraya Gas India Pvt.Ltd.</v>
      </c>
      <c r="G542" s="29" t="s">
        <v>45</v>
      </c>
      <c r="H542" s="29" t="s">
        <v>1820</v>
      </c>
      <c r="I542" s="29" t="s">
        <v>1277</v>
      </c>
      <c r="J542" s="64" t="str">
        <f>VLOOKUP(G542,'Vehicle List'!A:D,4,0)</f>
        <v>Kochi</v>
      </c>
      <c r="K542" s="64" t="s">
        <v>29</v>
      </c>
      <c r="L542" s="64" t="s">
        <v>19</v>
      </c>
      <c r="M542" s="64" t="s">
        <v>19</v>
      </c>
      <c r="N542" s="101">
        <v>0.53541666666666665</v>
      </c>
      <c r="O542" s="29" t="s">
        <v>1371</v>
      </c>
      <c r="P542" s="29" t="s">
        <v>30</v>
      </c>
    </row>
  </sheetData>
  <autoFilter ref="A1:P542" xr:uid="{4947055D-37C8-4E5E-B709-2B17BF27E6D9}"/>
  <phoneticPr fontId="45" type="noConversion"/>
  <conditionalFormatting sqref="G75:G79">
    <cfRule type="duplicateValues" dxfId="5" priority="1"/>
  </conditionalFormatting>
  <dataValidations count="3">
    <dataValidation type="list" allowBlank="1" showInputMessage="1" showErrorMessage="1" sqref="K1:K1048576" xr:uid="{00BA3D02-A9BA-4342-A3FE-BAC6FA2CDDB5}">
      <formula1>$S$2:$S$13</formula1>
    </dataValidation>
    <dataValidation type="list" allowBlank="1" showInputMessage="1" showErrorMessage="1" sqref="L1:L1048576" xr:uid="{66641F0E-8EC6-4152-AA08-E00E198FC5E9}">
      <formula1>$T$2:$T$13</formula1>
    </dataValidation>
    <dataValidation type="list" allowBlank="1" showInputMessage="1" showErrorMessage="1" sqref="M1:M1048576" xr:uid="{AFC94EDB-8332-4E09-A4C2-04AF46A6E7AD}">
      <formula1>$U$2:$U$13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398"/>
  <sheetViews>
    <sheetView zoomScale="85" zoomScaleNormal="85" workbookViewId="0">
      <pane ySplit="1" topLeftCell="A53" activePane="bottomLeft" state="frozen"/>
      <selection activeCell="C564" sqref="C564:C571"/>
      <selection pane="bottomLeft" sqref="A1:K53"/>
    </sheetView>
  </sheetViews>
  <sheetFormatPr defaultColWidth="8.7265625" defaultRowHeight="14.5"/>
  <cols>
    <col min="1" max="1" width="6.54296875" style="68" customWidth="1"/>
    <col min="2" max="2" width="14.26953125" style="68" customWidth="1"/>
    <col min="3" max="3" width="21.54296875" style="68" customWidth="1"/>
    <col min="4" max="4" width="30" style="68" customWidth="1"/>
    <col min="5" max="5" width="19.81640625" style="68" customWidth="1"/>
    <col min="6" max="6" width="19.54296875" style="68" customWidth="1"/>
    <col min="7" max="7" width="16.54296875" style="68" customWidth="1"/>
    <col min="8" max="8" width="57.1796875" style="68" customWidth="1"/>
    <col min="9" max="9" width="15.81640625" style="68" customWidth="1"/>
    <col min="10" max="10" width="21.81640625" style="68" customWidth="1"/>
    <col min="11" max="11" width="35.26953125" style="68" customWidth="1"/>
    <col min="12" max="16384" width="8.7265625" style="68"/>
  </cols>
  <sheetData>
    <row r="1" spans="1:11" ht="55.5">
      <c r="A1" s="69" t="s">
        <v>107</v>
      </c>
      <c r="B1" s="69" t="s">
        <v>1</v>
      </c>
      <c r="C1" s="69" t="s">
        <v>108</v>
      </c>
      <c r="D1" s="69" t="s">
        <v>109</v>
      </c>
      <c r="E1" s="70" t="s">
        <v>110</v>
      </c>
      <c r="F1" s="70" t="s">
        <v>111</v>
      </c>
      <c r="G1" s="70" t="s">
        <v>112</v>
      </c>
      <c r="H1" s="70" t="s">
        <v>113</v>
      </c>
      <c r="I1" s="70" t="s">
        <v>114</v>
      </c>
      <c r="J1" s="70" t="s">
        <v>115</v>
      </c>
      <c r="K1" s="69" t="s">
        <v>116</v>
      </c>
    </row>
    <row r="2" spans="1:11" ht="55.5" hidden="1">
      <c r="A2" s="71">
        <v>1</v>
      </c>
      <c r="B2" s="71" t="s">
        <v>1114</v>
      </c>
      <c r="C2" s="72" t="s">
        <v>85</v>
      </c>
      <c r="D2" s="71" t="s">
        <v>117</v>
      </c>
      <c r="E2" s="71">
        <v>2</v>
      </c>
      <c r="F2" s="71">
        <v>1</v>
      </c>
      <c r="G2" s="71">
        <v>3</v>
      </c>
      <c r="H2" s="73" t="s">
        <v>1121</v>
      </c>
      <c r="I2" s="71">
        <v>3</v>
      </c>
      <c r="J2" s="73" t="s">
        <v>118</v>
      </c>
      <c r="K2" s="73" t="s">
        <v>1068</v>
      </c>
    </row>
    <row r="3" spans="1:11" ht="92.5" hidden="1">
      <c r="A3" s="71">
        <v>1</v>
      </c>
      <c r="B3" s="71" t="s">
        <v>1114</v>
      </c>
      <c r="C3" s="72" t="s">
        <v>1123</v>
      </c>
      <c r="D3" s="71" t="s">
        <v>1264</v>
      </c>
      <c r="E3" s="71">
        <v>0</v>
      </c>
      <c r="F3" s="71">
        <v>1</v>
      </c>
      <c r="G3" s="71">
        <v>9</v>
      </c>
      <c r="H3" s="73" t="s">
        <v>1203</v>
      </c>
      <c r="I3" s="71">
        <v>1</v>
      </c>
      <c r="J3" s="73" t="s">
        <v>118</v>
      </c>
      <c r="K3" s="73" t="s">
        <v>1202</v>
      </c>
    </row>
    <row r="4" spans="1:11" ht="92.5" hidden="1">
      <c r="A4" s="71">
        <v>1</v>
      </c>
      <c r="B4" s="71" t="s">
        <v>1114</v>
      </c>
      <c r="C4" s="72" t="s">
        <v>1219</v>
      </c>
      <c r="D4" s="71" t="s">
        <v>1222</v>
      </c>
      <c r="E4" s="71">
        <v>0</v>
      </c>
      <c r="F4" s="71">
        <v>1</v>
      </c>
      <c r="G4" s="71">
        <v>5</v>
      </c>
      <c r="H4" s="73" t="s">
        <v>1223</v>
      </c>
      <c r="I4" s="71">
        <v>0</v>
      </c>
      <c r="J4" s="73" t="s">
        <v>1220</v>
      </c>
      <c r="K4" s="73" t="s">
        <v>1221</v>
      </c>
    </row>
    <row r="5" spans="1:11" ht="55.5" hidden="1">
      <c r="A5" s="71">
        <v>1</v>
      </c>
      <c r="B5" s="71" t="s">
        <v>1239</v>
      </c>
      <c r="C5" s="72" t="s">
        <v>85</v>
      </c>
      <c r="D5" s="71" t="s">
        <v>117</v>
      </c>
      <c r="E5" s="71">
        <v>2</v>
      </c>
      <c r="F5" s="71">
        <v>1</v>
      </c>
      <c r="G5" s="71">
        <v>4</v>
      </c>
      <c r="H5" s="73" t="s">
        <v>1240</v>
      </c>
      <c r="I5" s="71">
        <v>3</v>
      </c>
      <c r="J5" s="73" t="s">
        <v>118</v>
      </c>
      <c r="K5" s="73" t="s">
        <v>1068</v>
      </c>
    </row>
    <row r="6" spans="1:11" ht="129.5" hidden="1">
      <c r="A6" s="71">
        <v>1</v>
      </c>
      <c r="B6" s="71" t="s">
        <v>1239</v>
      </c>
      <c r="C6" s="72" t="s">
        <v>1219</v>
      </c>
      <c r="D6" s="71" t="s">
        <v>1264</v>
      </c>
      <c r="E6" s="71">
        <v>1</v>
      </c>
      <c r="F6" s="71">
        <v>1</v>
      </c>
      <c r="G6" s="71">
        <v>9</v>
      </c>
      <c r="H6" s="73" t="s">
        <v>1265</v>
      </c>
      <c r="I6" s="71">
        <v>2</v>
      </c>
      <c r="J6" s="73" t="s">
        <v>118</v>
      </c>
      <c r="K6" s="73" t="s">
        <v>1202</v>
      </c>
    </row>
    <row r="7" spans="1:11" ht="74" hidden="1">
      <c r="A7" s="71">
        <v>1</v>
      </c>
      <c r="B7" s="71" t="s">
        <v>1239</v>
      </c>
      <c r="C7" s="72" t="s">
        <v>1268</v>
      </c>
      <c r="D7" s="71" t="s">
        <v>1222</v>
      </c>
      <c r="E7" s="71">
        <v>5</v>
      </c>
      <c r="F7" s="71">
        <v>0</v>
      </c>
      <c r="G7" s="71">
        <v>5</v>
      </c>
      <c r="H7" s="73" t="s">
        <v>1285</v>
      </c>
      <c r="I7" s="71">
        <v>5</v>
      </c>
      <c r="J7" s="73" t="s">
        <v>118</v>
      </c>
      <c r="K7" s="73" t="s">
        <v>1221</v>
      </c>
    </row>
    <row r="8" spans="1:11" ht="74" hidden="1">
      <c r="A8" s="71">
        <v>1</v>
      </c>
      <c r="B8" s="71" t="s">
        <v>1314</v>
      </c>
      <c r="C8" s="72" t="s">
        <v>1219</v>
      </c>
      <c r="D8" s="71" t="s">
        <v>117</v>
      </c>
      <c r="E8" s="71">
        <v>0</v>
      </c>
      <c r="F8" s="71">
        <v>1</v>
      </c>
      <c r="G8" s="71">
        <v>7</v>
      </c>
      <c r="H8" s="73" t="s">
        <v>1294</v>
      </c>
      <c r="I8" s="71">
        <v>1</v>
      </c>
      <c r="J8" s="73" t="s">
        <v>118</v>
      </c>
      <c r="K8" s="73" t="s">
        <v>1068</v>
      </c>
    </row>
    <row r="9" spans="1:11" ht="111" hidden="1">
      <c r="A9" s="71">
        <v>1</v>
      </c>
      <c r="B9" s="71" t="s">
        <v>1314</v>
      </c>
      <c r="C9" s="72" t="s">
        <v>1123</v>
      </c>
      <c r="D9" s="71" t="s">
        <v>1264</v>
      </c>
      <c r="E9" s="71">
        <v>1</v>
      </c>
      <c r="F9" s="71">
        <v>0</v>
      </c>
      <c r="G9" s="71">
        <v>8</v>
      </c>
      <c r="H9" s="73" t="s">
        <v>1316</v>
      </c>
      <c r="I9" s="71">
        <v>1</v>
      </c>
      <c r="J9" s="73" t="s">
        <v>118</v>
      </c>
      <c r="K9" s="73" t="s">
        <v>1202</v>
      </c>
    </row>
    <row r="10" spans="1:11" ht="55.5" hidden="1">
      <c r="A10" s="71">
        <v>1</v>
      </c>
      <c r="B10" s="71" t="s">
        <v>1239</v>
      </c>
      <c r="C10" s="72" t="s">
        <v>1268</v>
      </c>
      <c r="D10" s="71" t="s">
        <v>1222</v>
      </c>
      <c r="E10" s="71">
        <v>0</v>
      </c>
      <c r="F10" s="71">
        <v>2</v>
      </c>
      <c r="G10" s="71">
        <v>6</v>
      </c>
      <c r="H10" s="73" t="s">
        <v>1330</v>
      </c>
      <c r="I10" s="71">
        <v>2</v>
      </c>
      <c r="J10" s="73" t="s">
        <v>118</v>
      </c>
      <c r="K10" s="73" t="s">
        <v>1221</v>
      </c>
    </row>
    <row r="11" spans="1:11" ht="74" hidden="1">
      <c r="A11" s="71">
        <v>1</v>
      </c>
      <c r="B11" s="71" t="s">
        <v>1339</v>
      </c>
      <c r="C11" s="72" t="s">
        <v>1219</v>
      </c>
      <c r="D11" s="71" t="s">
        <v>117</v>
      </c>
      <c r="E11" s="71">
        <v>0</v>
      </c>
      <c r="F11" s="71">
        <v>1</v>
      </c>
      <c r="G11" s="71">
        <v>7</v>
      </c>
      <c r="H11" s="73" t="s">
        <v>1340</v>
      </c>
      <c r="I11" s="71">
        <v>1</v>
      </c>
      <c r="J11" s="73" t="s">
        <v>118</v>
      </c>
      <c r="K11" s="73" t="s">
        <v>1068</v>
      </c>
    </row>
    <row r="12" spans="1:11" ht="92.5" hidden="1">
      <c r="A12" s="71">
        <v>1</v>
      </c>
      <c r="B12" s="71" t="s">
        <v>1339</v>
      </c>
      <c r="C12" s="72" t="s">
        <v>1123</v>
      </c>
      <c r="D12" s="71" t="s">
        <v>1264</v>
      </c>
      <c r="E12" s="71">
        <v>1</v>
      </c>
      <c r="F12" s="71">
        <v>3</v>
      </c>
      <c r="G12" s="71">
        <v>5</v>
      </c>
      <c r="H12" s="73" t="s">
        <v>1357</v>
      </c>
      <c r="I12" s="71">
        <v>4</v>
      </c>
      <c r="J12" s="73" t="s">
        <v>118</v>
      </c>
      <c r="K12" s="73" t="s">
        <v>1202</v>
      </c>
    </row>
    <row r="13" spans="1:11" ht="92.5" hidden="1">
      <c r="A13" s="71">
        <v>1</v>
      </c>
      <c r="B13" s="71" t="s">
        <v>1339</v>
      </c>
      <c r="C13" s="72" t="s">
        <v>1268</v>
      </c>
      <c r="D13" s="71" t="s">
        <v>1222</v>
      </c>
      <c r="E13" s="71">
        <v>2</v>
      </c>
      <c r="F13" s="71">
        <v>0</v>
      </c>
      <c r="G13" s="71">
        <v>9</v>
      </c>
      <c r="H13" s="73" t="s">
        <v>1372</v>
      </c>
      <c r="I13" s="71">
        <v>2</v>
      </c>
      <c r="J13" s="73" t="s">
        <v>118</v>
      </c>
      <c r="K13" s="73" t="s">
        <v>1221</v>
      </c>
    </row>
    <row r="14" spans="1:11" ht="111" hidden="1">
      <c r="A14" s="71">
        <v>1</v>
      </c>
      <c r="B14" s="71" t="s">
        <v>1392</v>
      </c>
      <c r="C14" s="72" t="s">
        <v>1123</v>
      </c>
      <c r="D14" s="71" t="s">
        <v>117</v>
      </c>
      <c r="E14" s="71">
        <v>1</v>
      </c>
      <c r="F14" s="71">
        <v>4</v>
      </c>
      <c r="G14" s="71">
        <v>7</v>
      </c>
      <c r="H14" s="73" t="s">
        <v>1394</v>
      </c>
      <c r="I14" s="71">
        <v>5</v>
      </c>
      <c r="J14" s="73" t="s">
        <v>1393</v>
      </c>
      <c r="K14" s="73" t="s">
        <v>1068</v>
      </c>
    </row>
    <row r="15" spans="1:11" ht="74" hidden="1">
      <c r="A15" s="71">
        <v>1</v>
      </c>
      <c r="B15" s="71" t="s">
        <v>1392</v>
      </c>
      <c r="C15" s="72" t="s">
        <v>1268</v>
      </c>
      <c r="D15" s="71" t="s">
        <v>1264</v>
      </c>
      <c r="E15" s="71">
        <v>0</v>
      </c>
      <c r="F15" s="71">
        <v>1</v>
      </c>
      <c r="G15" s="71">
        <v>12</v>
      </c>
      <c r="H15" s="73" t="s">
        <v>1422</v>
      </c>
      <c r="I15" s="71">
        <v>1</v>
      </c>
      <c r="J15" s="73" t="s">
        <v>118</v>
      </c>
      <c r="K15" s="73" t="s">
        <v>1202</v>
      </c>
    </row>
    <row r="16" spans="1:11" ht="55.5" hidden="1">
      <c r="A16" s="71">
        <v>1</v>
      </c>
      <c r="B16" s="71" t="s">
        <v>1392</v>
      </c>
      <c r="C16" s="72" t="s">
        <v>85</v>
      </c>
      <c r="D16" s="71" t="s">
        <v>1222</v>
      </c>
      <c r="E16" s="71">
        <v>2</v>
      </c>
      <c r="F16" s="71">
        <v>1</v>
      </c>
      <c r="G16" s="71">
        <v>5</v>
      </c>
      <c r="H16" s="73" t="s">
        <v>1431</v>
      </c>
      <c r="I16" s="71">
        <v>3</v>
      </c>
      <c r="J16" s="73" t="s">
        <v>118</v>
      </c>
      <c r="K16" s="73" t="s">
        <v>1221</v>
      </c>
    </row>
    <row r="17" spans="1:11" ht="92.5" hidden="1">
      <c r="A17" s="71">
        <v>1</v>
      </c>
      <c r="B17" s="71" t="s">
        <v>1454</v>
      </c>
      <c r="C17" s="72" t="s">
        <v>1123</v>
      </c>
      <c r="D17" s="71" t="s">
        <v>117</v>
      </c>
      <c r="E17" s="71">
        <v>1</v>
      </c>
      <c r="F17" s="71">
        <v>6</v>
      </c>
      <c r="G17" s="71">
        <v>8</v>
      </c>
      <c r="H17" s="73" t="s">
        <v>1455</v>
      </c>
      <c r="I17" s="71">
        <v>7</v>
      </c>
      <c r="J17" s="73" t="s">
        <v>118</v>
      </c>
      <c r="K17" s="73" t="s">
        <v>1068</v>
      </c>
    </row>
    <row r="18" spans="1:11" ht="92.5" hidden="1">
      <c r="A18" s="71">
        <v>1</v>
      </c>
      <c r="B18" s="71" t="s">
        <v>1454</v>
      </c>
      <c r="C18" s="72" t="s">
        <v>1268</v>
      </c>
      <c r="D18" s="71" t="s">
        <v>1264</v>
      </c>
      <c r="E18" s="71">
        <v>1</v>
      </c>
      <c r="F18" s="71">
        <v>1</v>
      </c>
      <c r="G18" s="71">
        <v>7</v>
      </c>
      <c r="H18" s="73" t="s">
        <v>1464</v>
      </c>
      <c r="I18" s="71">
        <v>2</v>
      </c>
      <c r="J18" s="73" t="s">
        <v>118</v>
      </c>
      <c r="K18" s="73" t="s">
        <v>1202</v>
      </c>
    </row>
    <row r="19" spans="1:11" ht="37" hidden="1">
      <c r="A19" s="71">
        <v>1</v>
      </c>
      <c r="B19" s="71" t="s">
        <v>1454</v>
      </c>
      <c r="C19" s="72" t="s">
        <v>85</v>
      </c>
      <c r="D19" s="71" t="s">
        <v>1222</v>
      </c>
      <c r="E19" s="71">
        <v>2</v>
      </c>
      <c r="F19" s="71">
        <v>2</v>
      </c>
      <c r="G19" s="71">
        <v>5</v>
      </c>
      <c r="H19" s="73" t="s">
        <v>1473</v>
      </c>
      <c r="I19" s="71">
        <v>4</v>
      </c>
      <c r="J19" s="73" t="s">
        <v>118</v>
      </c>
      <c r="K19" s="73" t="s">
        <v>1221</v>
      </c>
    </row>
    <row r="20" spans="1:11" ht="92.5" hidden="1">
      <c r="A20" s="71">
        <v>1</v>
      </c>
      <c r="B20" s="71" t="s">
        <v>1488</v>
      </c>
      <c r="C20" s="72" t="s">
        <v>1123</v>
      </c>
      <c r="D20" s="71" t="s">
        <v>117</v>
      </c>
      <c r="E20" s="71">
        <v>0</v>
      </c>
      <c r="F20" s="71">
        <v>1</v>
      </c>
      <c r="G20" s="71">
        <v>8</v>
      </c>
      <c r="H20" s="73" t="s">
        <v>1489</v>
      </c>
      <c r="I20" s="71">
        <v>1</v>
      </c>
      <c r="J20" s="73" t="s">
        <v>118</v>
      </c>
      <c r="K20" s="73" t="s">
        <v>1068</v>
      </c>
    </row>
    <row r="21" spans="1:11" ht="92.5" hidden="1">
      <c r="A21" s="71">
        <v>1</v>
      </c>
      <c r="B21" s="71" t="s">
        <v>1488</v>
      </c>
      <c r="C21" s="72" t="s">
        <v>85</v>
      </c>
      <c r="D21" s="71" t="s">
        <v>1264</v>
      </c>
      <c r="E21" s="71">
        <v>0</v>
      </c>
      <c r="F21" s="71">
        <v>1</v>
      </c>
      <c r="G21" s="71">
        <v>7</v>
      </c>
      <c r="H21" s="73" t="s">
        <v>1504</v>
      </c>
      <c r="I21" s="71">
        <v>1</v>
      </c>
      <c r="J21" s="73" t="s">
        <v>118</v>
      </c>
      <c r="K21" s="73" t="s">
        <v>1202</v>
      </c>
    </row>
    <row r="22" spans="1:11" ht="74" hidden="1">
      <c r="A22" s="71">
        <v>1</v>
      </c>
      <c r="B22" s="71" t="s">
        <v>1488</v>
      </c>
      <c r="C22" s="72" t="s">
        <v>1268</v>
      </c>
      <c r="D22" s="71" t="s">
        <v>1222</v>
      </c>
      <c r="E22" s="71">
        <v>0</v>
      </c>
      <c r="F22" s="71">
        <v>3</v>
      </c>
      <c r="G22" s="71">
        <v>11</v>
      </c>
      <c r="H22" s="73" t="s">
        <v>1514</v>
      </c>
      <c r="I22" s="71">
        <v>3</v>
      </c>
      <c r="J22" s="73" t="s">
        <v>1515</v>
      </c>
      <c r="K22" s="73" t="s">
        <v>1221</v>
      </c>
    </row>
    <row r="23" spans="1:11" ht="111" hidden="1">
      <c r="A23" s="71">
        <v>1</v>
      </c>
      <c r="B23" s="71" t="s">
        <v>1527</v>
      </c>
      <c r="C23" s="72" t="s">
        <v>1123</v>
      </c>
      <c r="D23" s="71" t="s">
        <v>117</v>
      </c>
      <c r="E23" s="71">
        <v>0</v>
      </c>
      <c r="F23" s="71">
        <v>3</v>
      </c>
      <c r="G23" s="71">
        <v>9</v>
      </c>
      <c r="H23" s="73" t="s">
        <v>1528</v>
      </c>
      <c r="I23" s="71">
        <v>3</v>
      </c>
      <c r="J23" s="73" t="s">
        <v>118</v>
      </c>
      <c r="K23" s="73" t="s">
        <v>1068</v>
      </c>
    </row>
    <row r="24" spans="1:11" ht="74" hidden="1">
      <c r="A24" s="71">
        <v>1</v>
      </c>
      <c r="B24" s="71" t="s">
        <v>1527</v>
      </c>
      <c r="C24" s="72" t="s">
        <v>85</v>
      </c>
      <c r="D24" s="71" t="s">
        <v>1264</v>
      </c>
      <c r="E24" s="71">
        <v>0</v>
      </c>
      <c r="F24" s="71">
        <v>0</v>
      </c>
      <c r="G24" s="71">
        <v>7</v>
      </c>
      <c r="H24" s="73" t="s">
        <v>1541</v>
      </c>
      <c r="I24" s="71">
        <v>0</v>
      </c>
      <c r="J24" s="73" t="s">
        <v>118</v>
      </c>
      <c r="K24" s="73" t="s">
        <v>1202</v>
      </c>
    </row>
    <row r="25" spans="1:11" ht="92.5" hidden="1">
      <c r="A25" s="71">
        <v>1</v>
      </c>
      <c r="B25" s="71" t="s">
        <v>1527</v>
      </c>
      <c r="C25" s="72" t="s">
        <v>1219</v>
      </c>
      <c r="D25" s="71" t="s">
        <v>1222</v>
      </c>
      <c r="E25" s="71">
        <v>0</v>
      </c>
      <c r="F25" s="71">
        <v>1</v>
      </c>
      <c r="G25" s="71">
        <v>7</v>
      </c>
      <c r="H25" s="73" t="s">
        <v>1551</v>
      </c>
      <c r="I25" s="71">
        <v>1</v>
      </c>
      <c r="J25" s="73" t="s">
        <v>1552</v>
      </c>
      <c r="K25" s="73" t="s">
        <v>1221</v>
      </c>
    </row>
    <row r="26" spans="1:11" ht="92.5" hidden="1">
      <c r="A26" s="71">
        <v>1</v>
      </c>
      <c r="B26" s="71" t="s">
        <v>1562</v>
      </c>
      <c r="C26" s="72" t="s">
        <v>85</v>
      </c>
      <c r="D26" s="71" t="s">
        <v>117</v>
      </c>
      <c r="E26" s="71">
        <v>1</v>
      </c>
      <c r="F26" s="71">
        <v>1</v>
      </c>
      <c r="G26" s="71">
        <v>7</v>
      </c>
      <c r="H26" s="73" t="s">
        <v>1563</v>
      </c>
      <c r="I26" s="71">
        <v>2</v>
      </c>
      <c r="J26" s="73" t="s">
        <v>118</v>
      </c>
      <c r="K26" s="73" t="s">
        <v>1068</v>
      </c>
    </row>
    <row r="27" spans="1:11" ht="74" hidden="1">
      <c r="A27" s="71">
        <v>1</v>
      </c>
      <c r="B27" s="71" t="s">
        <v>1562</v>
      </c>
      <c r="C27" s="72" t="s">
        <v>1268</v>
      </c>
      <c r="D27" s="71" t="s">
        <v>1264</v>
      </c>
      <c r="E27" s="71">
        <v>1</v>
      </c>
      <c r="F27" s="71">
        <v>2</v>
      </c>
      <c r="G27" s="71">
        <v>7</v>
      </c>
      <c r="H27" s="73" t="s">
        <v>1572</v>
      </c>
      <c r="I27" s="71">
        <v>3</v>
      </c>
      <c r="J27" s="73" t="s">
        <v>118</v>
      </c>
      <c r="K27" s="73" t="s">
        <v>1202</v>
      </c>
    </row>
    <row r="28" spans="1:11" ht="37" hidden="1">
      <c r="A28" s="71">
        <v>1</v>
      </c>
      <c r="B28" s="71" t="s">
        <v>1562</v>
      </c>
      <c r="C28" s="72" t="s">
        <v>1219</v>
      </c>
      <c r="D28" s="71" t="s">
        <v>1222</v>
      </c>
      <c r="E28" s="71">
        <v>1</v>
      </c>
      <c r="F28" s="71">
        <v>2</v>
      </c>
      <c r="G28" s="71">
        <v>3</v>
      </c>
      <c r="H28" s="73" t="s">
        <v>1579</v>
      </c>
      <c r="I28" s="71">
        <v>2</v>
      </c>
      <c r="J28" s="73" t="s">
        <v>1580</v>
      </c>
      <c r="K28" s="73" t="s">
        <v>1221</v>
      </c>
    </row>
    <row r="29" spans="1:11" ht="129.5" hidden="1">
      <c r="A29" s="71">
        <v>1</v>
      </c>
      <c r="B29" s="71" t="s">
        <v>1593</v>
      </c>
      <c r="C29" s="72" t="s">
        <v>1268</v>
      </c>
      <c r="D29" s="71" t="s">
        <v>117</v>
      </c>
      <c r="E29" s="71">
        <v>1</v>
      </c>
      <c r="F29" s="71">
        <v>3</v>
      </c>
      <c r="G29" s="71">
        <v>11</v>
      </c>
      <c r="H29" s="73" t="s">
        <v>1595</v>
      </c>
      <c r="I29" s="71">
        <v>4</v>
      </c>
      <c r="J29" s="73" t="s">
        <v>118</v>
      </c>
      <c r="K29" s="73" t="s">
        <v>1068</v>
      </c>
    </row>
    <row r="30" spans="1:11" ht="55.5" hidden="1">
      <c r="A30" s="71">
        <v>1</v>
      </c>
      <c r="B30" s="71" t="s">
        <v>1593</v>
      </c>
      <c r="C30" s="72" t="s">
        <v>85</v>
      </c>
      <c r="D30" s="71" t="s">
        <v>1264</v>
      </c>
      <c r="E30" s="71">
        <v>2</v>
      </c>
      <c r="F30" s="71">
        <v>2</v>
      </c>
      <c r="G30" s="71">
        <v>4</v>
      </c>
      <c r="H30" s="73" t="s">
        <v>1605</v>
      </c>
      <c r="I30" s="71">
        <v>4</v>
      </c>
      <c r="J30" s="73" t="s">
        <v>118</v>
      </c>
      <c r="K30" s="73" t="s">
        <v>1202</v>
      </c>
    </row>
    <row r="31" spans="1:11" ht="37" hidden="1">
      <c r="A31" s="71">
        <v>1</v>
      </c>
      <c r="B31" s="71" t="s">
        <v>1593</v>
      </c>
      <c r="C31" s="72" t="s">
        <v>1219</v>
      </c>
      <c r="D31" s="71" t="s">
        <v>1222</v>
      </c>
      <c r="E31" s="71">
        <v>1</v>
      </c>
      <c r="F31" s="71">
        <v>1</v>
      </c>
      <c r="G31" s="71">
        <v>4</v>
      </c>
      <c r="H31" s="73" t="s">
        <v>1614</v>
      </c>
      <c r="I31" s="71">
        <v>2</v>
      </c>
      <c r="J31" s="73" t="s">
        <v>118</v>
      </c>
      <c r="K31" s="73" t="s">
        <v>1221</v>
      </c>
    </row>
    <row r="32" spans="1:11" ht="92.5" hidden="1">
      <c r="A32" s="71">
        <v>1</v>
      </c>
      <c r="B32" s="71" t="s">
        <v>1630</v>
      </c>
      <c r="C32" s="72" t="s">
        <v>1268</v>
      </c>
      <c r="D32" s="71" t="s">
        <v>117</v>
      </c>
      <c r="E32" s="71">
        <v>3</v>
      </c>
      <c r="F32" s="71">
        <v>3</v>
      </c>
      <c r="G32" s="71">
        <v>8</v>
      </c>
      <c r="H32" s="73" t="s">
        <v>1631</v>
      </c>
      <c r="I32" s="71">
        <v>6</v>
      </c>
      <c r="J32" s="73" t="s">
        <v>118</v>
      </c>
      <c r="K32" s="73" t="s">
        <v>1068</v>
      </c>
    </row>
    <row r="33" spans="1:11" ht="92.5" hidden="1">
      <c r="A33" s="71">
        <v>1</v>
      </c>
      <c r="B33" s="71" t="s">
        <v>1630</v>
      </c>
      <c r="C33" s="72" t="s">
        <v>1123</v>
      </c>
      <c r="D33" s="71" t="s">
        <v>1264</v>
      </c>
      <c r="E33" s="71">
        <v>3</v>
      </c>
      <c r="F33" s="71">
        <v>5</v>
      </c>
      <c r="G33" s="71">
        <v>4</v>
      </c>
      <c r="H33" s="73" t="s">
        <v>1657</v>
      </c>
      <c r="I33" s="71">
        <v>8</v>
      </c>
      <c r="J33" s="73" t="s">
        <v>118</v>
      </c>
      <c r="K33" s="73" t="s">
        <v>1202</v>
      </c>
    </row>
    <row r="34" spans="1:11" ht="74" hidden="1">
      <c r="A34" s="71">
        <v>1</v>
      </c>
      <c r="B34" s="71" t="s">
        <v>1630</v>
      </c>
      <c r="C34" s="72" t="s">
        <v>85</v>
      </c>
      <c r="D34" s="71" t="s">
        <v>1222</v>
      </c>
      <c r="E34" s="71">
        <v>3</v>
      </c>
      <c r="F34" s="71">
        <v>3</v>
      </c>
      <c r="G34" s="71">
        <v>6</v>
      </c>
      <c r="H34" s="73" t="s">
        <v>1677</v>
      </c>
      <c r="I34" s="71">
        <v>6</v>
      </c>
      <c r="J34" s="73" t="s">
        <v>118</v>
      </c>
      <c r="K34" s="73" t="s">
        <v>1221</v>
      </c>
    </row>
    <row r="35" spans="1:11" ht="111" hidden="1">
      <c r="A35" s="71">
        <v>1</v>
      </c>
      <c r="B35" s="71" t="s">
        <v>1685</v>
      </c>
      <c r="C35" s="72" t="s">
        <v>1268</v>
      </c>
      <c r="D35" s="71" t="s">
        <v>117</v>
      </c>
      <c r="E35" s="71">
        <v>3</v>
      </c>
      <c r="F35" s="71">
        <v>2</v>
      </c>
      <c r="G35" s="71">
        <v>8</v>
      </c>
      <c r="H35" s="73" t="s">
        <v>1688</v>
      </c>
      <c r="I35" s="71">
        <v>5</v>
      </c>
      <c r="J35" s="73" t="s">
        <v>118</v>
      </c>
      <c r="K35" s="73" t="s">
        <v>1068</v>
      </c>
    </row>
    <row r="36" spans="1:11" ht="92.5" hidden="1">
      <c r="A36" s="71">
        <v>1</v>
      </c>
      <c r="B36" s="71" t="s">
        <v>1685</v>
      </c>
      <c r="C36" s="72" t="s">
        <v>1123</v>
      </c>
      <c r="D36" s="71" t="s">
        <v>1264</v>
      </c>
      <c r="E36" s="71">
        <v>1</v>
      </c>
      <c r="F36" s="71">
        <v>4</v>
      </c>
      <c r="G36" s="71">
        <v>8</v>
      </c>
      <c r="H36" s="73" t="s">
        <v>1699</v>
      </c>
      <c r="I36" s="71">
        <v>5</v>
      </c>
      <c r="J36" s="73" t="s">
        <v>118</v>
      </c>
      <c r="K36" s="73" t="s">
        <v>1202</v>
      </c>
    </row>
    <row r="37" spans="1:11" ht="55.5" hidden="1">
      <c r="A37" s="71">
        <v>1</v>
      </c>
      <c r="B37" s="71" t="s">
        <v>1685</v>
      </c>
      <c r="C37" s="72" t="s">
        <v>1219</v>
      </c>
      <c r="D37" s="71" t="s">
        <v>1222</v>
      </c>
      <c r="E37" s="71">
        <v>0</v>
      </c>
      <c r="F37" s="71">
        <v>0</v>
      </c>
      <c r="G37" s="71">
        <v>4</v>
      </c>
      <c r="H37" s="73" t="s">
        <v>1705</v>
      </c>
      <c r="I37" s="71">
        <v>0</v>
      </c>
      <c r="J37" s="73" t="s">
        <v>118</v>
      </c>
      <c r="K37" s="73" t="s">
        <v>1221</v>
      </c>
    </row>
    <row r="38" spans="1:11" ht="74" hidden="1">
      <c r="A38" s="71">
        <v>1</v>
      </c>
      <c r="B38" s="71" t="s">
        <v>1725</v>
      </c>
      <c r="C38" s="72" t="s">
        <v>1123</v>
      </c>
      <c r="D38" s="71" t="s">
        <v>117</v>
      </c>
      <c r="E38" s="71">
        <v>0</v>
      </c>
      <c r="F38" s="71">
        <v>3</v>
      </c>
      <c r="G38" s="71">
        <v>15</v>
      </c>
      <c r="H38" s="73" t="s">
        <v>1726</v>
      </c>
      <c r="I38" s="71">
        <v>3</v>
      </c>
      <c r="J38" s="73" t="s">
        <v>118</v>
      </c>
      <c r="K38" s="73" t="s">
        <v>1068</v>
      </c>
    </row>
    <row r="39" spans="1:11" ht="111" hidden="1">
      <c r="A39" s="71">
        <v>1</v>
      </c>
      <c r="B39" s="71" t="s">
        <v>1725</v>
      </c>
      <c r="C39" s="72" t="s">
        <v>1219</v>
      </c>
      <c r="D39" s="71" t="s">
        <v>1264</v>
      </c>
      <c r="E39" s="71">
        <v>1</v>
      </c>
      <c r="F39" s="71">
        <v>0</v>
      </c>
      <c r="G39" s="71">
        <v>9</v>
      </c>
      <c r="H39" s="73" t="s">
        <v>1742</v>
      </c>
      <c r="I39" s="71">
        <v>1</v>
      </c>
      <c r="J39" s="73" t="s">
        <v>118</v>
      </c>
      <c r="K39" s="73" t="s">
        <v>1202</v>
      </c>
    </row>
    <row r="40" spans="1:11" ht="74" hidden="1">
      <c r="A40" s="71">
        <v>1</v>
      </c>
      <c r="B40" s="71" t="s">
        <v>1725</v>
      </c>
      <c r="C40" s="72" t="s">
        <v>85</v>
      </c>
      <c r="D40" s="71" t="s">
        <v>1222</v>
      </c>
      <c r="E40" s="71">
        <v>2</v>
      </c>
      <c r="F40" s="71">
        <v>2</v>
      </c>
      <c r="G40" s="71">
        <v>5</v>
      </c>
      <c r="H40" s="73" t="s">
        <v>1751</v>
      </c>
      <c r="I40" s="71">
        <v>4</v>
      </c>
      <c r="J40" s="73" t="s">
        <v>118</v>
      </c>
      <c r="K40" s="73" t="s">
        <v>1221</v>
      </c>
    </row>
    <row r="41" spans="1:11" ht="92.5" hidden="1">
      <c r="A41" s="71">
        <v>1</v>
      </c>
      <c r="B41" s="71" t="s">
        <v>1757</v>
      </c>
      <c r="C41" s="72" t="s">
        <v>1123</v>
      </c>
      <c r="D41" s="71" t="s">
        <v>117</v>
      </c>
      <c r="E41" s="71">
        <v>0</v>
      </c>
      <c r="F41" s="71">
        <v>0</v>
      </c>
      <c r="G41" s="71">
        <v>12</v>
      </c>
      <c r="H41" s="73" t="s">
        <v>1758</v>
      </c>
      <c r="I41" s="71">
        <v>0</v>
      </c>
      <c r="J41" s="73" t="s">
        <v>118</v>
      </c>
      <c r="K41" s="73" t="s">
        <v>1068</v>
      </c>
    </row>
    <row r="42" spans="1:11" ht="74" hidden="1">
      <c r="A42" s="71">
        <v>1</v>
      </c>
      <c r="B42" s="71" t="s">
        <v>1757</v>
      </c>
      <c r="C42" s="72" t="s">
        <v>85</v>
      </c>
      <c r="D42" s="71" t="s">
        <v>1264</v>
      </c>
      <c r="E42" s="71">
        <v>1</v>
      </c>
      <c r="F42" s="71">
        <v>1</v>
      </c>
      <c r="G42" s="71">
        <v>8</v>
      </c>
      <c r="H42" s="73" t="s">
        <v>1774</v>
      </c>
      <c r="I42" s="71">
        <v>2</v>
      </c>
      <c r="J42" s="73" t="s">
        <v>118</v>
      </c>
      <c r="K42" s="73" t="s">
        <v>1202</v>
      </c>
    </row>
    <row r="43" spans="1:11" ht="92.5" hidden="1">
      <c r="A43" s="71">
        <v>1</v>
      </c>
      <c r="B43" s="71" t="s">
        <v>1757</v>
      </c>
      <c r="C43" s="72" t="s">
        <v>1268</v>
      </c>
      <c r="D43" s="71" t="s">
        <v>1222</v>
      </c>
      <c r="E43" s="71">
        <v>2</v>
      </c>
      <c r="F43" s="71">
        <v>1</v>
      </c>
      <c r="G43" s="71">
        <v>11</v>
      </c>
      <c r="H43" s="73" t="s">
        <v>1785</v>
      </c>
      <c r="I43" s="71">
        <v>3</v>
      </c>
      <c r="J43" s="73" t="s">
        <v>118</v>
      </c>
      <c r="K43" s="73" t="s">
        <v>1221</v>
      </c>
    </row>
    <row r="44" spans="1:11" ht="111" hidden="1">
      <c r="A44" s="71">
        <v>1</v>
      </c>
      <c r="B44" s="71" t="s">
        <v>1798</v>
      </c>
      <c r="C44" s="72" t="s">
        <v>1123</v>
      </c>
      <c r="D44" s="71" t="s">
        <v>117</v>
      </c>
      <c r="E44" s="71">
        <v>2</v>
      </c>
      <c r="F44" s="71">
        <v>5</v>
      </c>
      <c r="G44" s="71">
        <v>11</v>
      </c>
      <c r="H44" s="73" t="s">
        <v>1800</v>
      </c>
      <c r="I44" s="71">
        <v>7</v>
      </c>
      <c r="J44" s="73" t="s">
        <v>1799</v>
      </c>
      <c r="K44" s="73" t="s">
        <v>1068</v>
      </c>
    </row>
    <row r="45" spans="1:11" ht="74" hidden="1">
      <c r="A45" s="71">
        <v>1</v>
      </c>
      <c r="B45" s="71" t="s">
        <v>1798</v>
      </c>
      <c r="C45" s="72" t="s">
        <v>1268</v>
      </c>
      <c r="D45" s="71" t="s">
        <v>1264</v>
      </c>
      <c r="E45" s="71">
        <v>1</v>
      </c>
      <c r="F45" s="71">
        <v>0</v>
      </c>
      <c r="G45" s="71">
        <v>11</v>
      </c>
      <c r="H45" s="73" t="s">
        <v>1774</v>
      </c>
      <c r="I45" s="71">
        <v>1</v>
      </c>
      <c r="J45" s="73" t="s">
        <v>118</v>
      </c>
      <c r="K45" s="73" t="s">
        <v>1202</v>
      </c>
    </row>
    <row r="46" spans="1:11" ht="37" hidden="1">
      <c r="A46" s="71">
        <v>1</v>
      </c>
      <c r="B46" s="71" t="s">
        <v>1798</v>
      </c>
      <c r="C46" s="72" t="s">
        <v>85</v>
      </c>
      <c r="D46" s="71" t="s">
        <v>1222</v>
      </c>
      <c r="E46" s="71">
        <v>3</v>
      </c>
      <c r="F46" s="71">
        <v>2</v>
      </c>
      <c r="G46" s="71">
        <v>2</v>
      </c>
      <c r="H46" s="73" t="s">
        <v>1825</v>
      </c>
      <c r="I46" s="71">
        <v>5</v>
      </c>
      <c r="J46" s="73" t="s">
        <v>118</v>
      </c>
      <c r="K46" s="73" t="s">
        <v>1221</v>
      </c>
    </row>
    <row r="47" spans="1:11" ht="55.5" hidden="1">
      <c r="A47" s="71">
        <v>1</v>
      </c>
      <c r="B47" s="71" t="s">
        <v>1829</v>
      </c>
      <c r="C47" s="72" t="s">
        <v>1219</v>
      </c>
      <c r="D47" s="71" t="s">
        <v>117</v>
      </c>
      <c r="E47" s="71">
        <v>0</v>
      </c>
      <c r="F47" s="71">
        <v>0</v>
      </c>
      <c r="G47" s="71">
        <v>7</v>
      </c>
      <c r="H47" s="73" t="s">
        <v>1830</v>
      </c>
      <c r="I47" s="71">
        <v>7</v>
      </c>
      <c r="J47" s="73" t="s">
        <v>1552</v>
      </c>
      <c r="K47" s="73" t="s">
        <v>1068</v>
      </c>
    </row>
    <row r="48" spans="1:11" ht="111" hidden="1">
      <c r="A48" s="71">
        <v>1</v>
      </c>
      <c r="B48" s="71" t="s">
        <v>1829</v>
      </c>
      <c r="C48" s="72" t="s">
        <v>1268</v>
      </c>
      <c r="D48" s="71" t="s">
        <v>1264</v>
      </c>
      <c r="E48" s="71">
        <v>0</v>
      </c>
      <c r="F48" s="71">
        <v>3</v>
      </c>
      <c r="G48" s="71">
        <v>11</v>
      </c>
      <c r="H48" s="73" t="s">
        <v>1841</v>
      </c>
      <c r="I48" s="71">
        <v>3</v>
      </c>
      <c r="J48" s="73" t="s">
        <v>118</v>
      </c>
      <c r="K48" s="73" t="s">
        <v>1202</v>
      </c>
    </row>
    <row r="49" spans="1:11" ht="74" hidden="1">
      <c r="A49" s="71">
        <v>1</v>
      </c>
      <c r="B49" s="71" t="s">
        <v>1829</v>
      </c>
      <c r="C49" s="72" t="s">
        <v>85</v>
      </c>
      <c r="D49" s="71" t="s">
        <v>1222</v>
      </c>
      <c r="E49" s="71">
        <v>1</v>
      </c>
      <c r="F49" s="71">
        <v>2</v>
      </c>
      <c r="G49" s="71">
        <v>5</v>
      </c>
      <c r="H49" s="73" t="s">
        <v>1852</v>
      </c>
      <c r="I49" s="71">
        <v>3</v>
      </c>
      <c r="J49" s="73" t="s">
        <v>118</v>
      </c>
      <c r="K49" s="73" t="s">
        <v>1221</v>
      </c>
    </row>
    <row r="50" spans="1:11" ht="74" hidden="1">
      <c r="A50" s="71">
        <v>1</v>
      </c>
      <c r="B50" s="71" t="s">
        <v>1859</v>
      </c>
      <c r="C50" s="72" t="s">
        <v>1219</v>
      </c>
      <c r="D50" s="71" t="s">
        <v>117</v>
      </c>
      <c r="E50" s="71">
        <v>2</v>
      </c>
      <c r="F50" s="71">
        <v>2</v>
      </c>
      <c r="G50" s="71">
        <v>5</v>
      </c>
      <c r="H50" s="73" t="s">
        <v>1860</v>
      </c>
      <c r="I50" s="71">
        <v>4</v>
      </c>
      <c r="J50" s="73" t="s">
        <v>1552</v>
      </c>
      <c r="K50" s="73" t="s">
        <v>1068</v>
      </c>
    </row>
    <row r="51" spans="1:11" ht="74" hidden="1">
      <c r="A51" s="71">
        <v>1</v>
      </c>
      <c r="B51" s="71" t="s">
        <v>1859</v>
      </c>
      <c r="C51" s="72" t="s">
        <v>1268</v>
      </c>
      <c r="D51" s="71" t="s">
        <v>1264</v>
      </c>
      <c r="E51" s="71">
        <v>3</v>
      </c>
      <c r="F51" s="71">
        <v>2</v>
      </c>
      <c r="G51" s="71">
        <v>7</v>
      </c>
      <c r="H51" s="73" t="s">
        <v>1874</v>
      </c>
      <c r="I51" s="71">
        <v>5</v>
      </c>
      <c r="J51" s="73" t="s">
        <v>118</v>
      </c>
      <c r="K51" s="73" t="s">
        <v>1202</v>
      </c>
    </row>
    <row r="52" spans="1:11" ht="37" hidden="1">
      <c r="A52" s="71">
        <v>1</v>
      </c>
      <c r="B52" s="71" t="s">
        <v>1859</v>
      </c>
      <c r="C52" s="72" t="s">
        <v>85</v>
      </c>
      <c r="D52" s="71" t="s">
        <v>1222</v>
      </c>
      <c r="E52" s="71">
        <v>3</v>
      </c>
      <c r="F52" s="71">
        <v>3</v>
      </c>
      <c r="G52" s="71">
        <v>2</v>
      </c>
      <c r="H52" s="73" t="s">
        <v>1473</v>
      </c>
      <c r="I52" s="71">
        <v>6</v>
      </c>
      <c r="J52" s="73" t="s">
        <v>118</v>
      </c>
      <c r="K52" s="73" t="s">
        <v>1221</v>
      </c>
    </row>
    <row r="53" spans="1:11" ht="92.5">
      <c r="A53" s="71">
        <v>1</v>
      </c>
      <c r="B53" s="71" t="s">
        <v>1891</v>
      </c>
      <c r="C53" s="72" t="s">
        <v>1268</v>
      </c>
      <c r="D53" s="71" t="s">
        <v>117</v>
      </c>
      <c r="E53" s="71">
        <v>1</v>
      </c>
      <c r="F53" s="71">
        <v>3</v>
      </c>
      <c r="G53" s="71">
        <v>10</v>
      </c>
      <c r="H53" s="73" t="s">
        <v>1892</v>
      </c>
      <c r="I53" s="71">
        <v>4</v>
      </c>
      <c r="J53" s="73" t="s">
        <v>1552</v>
      </c>
      <c r="K53" s="73" t="s">
        <v>1068</v>
      </c>
    </row>
    <row r="398" spans="14:14">
      <c r="N398" s="98">
        <v>0.53819444444444442</v>
      </c>
    </row>
  </sheetData>
  <phoneticPr fontId="4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9"/>
  <sheetViews>
    <sheetView zoomScale="80" zoomScaleNormal="80" workbookViewId="0">
      <selection activeCell="K22" sqref="K22"/>
    </sheetView>
  </sheetViews>
  <sheetFormatPr defaultColWidth="9" defaultRowHeight="14.5"/>
  <cols>
    <col min="1" max="1" width="6.1796875" customWidth="1"/>
    <col min="2" max="2" width="14.54296875" customWidth="1"/>
    <col min="3" max="3" width="21.1796875" customWidth="1"/>
    <col min="4" max="4" width="6.54296875" customWidth="1"/>
    <col min="5" max="5" width="23.453125" customWidth="1"/>
    <col min="6" max="6" width="21.81640625" customWidth="1"/>
    <col min="7" max="7" width="16.81640625" customWidth="1"/>
    <col min="8" max="8" width="23.453125" customWidth="1"/>
    <col min="9" max="9" width="14.26953125" customWidth="1"/>
    <col min="10" max="10" width="21.26953125" customWidth="1"/>
    <col min="11" max="11" width="16.26953125" customWidth="1"/>
    <col min="12" max="12" width="23.7265625" customWidth="1"/>
    <col min="13" max="13" width="17.26953125" customWidth="1"/>
    <col min="14" max="14" width="13.1796875" customWidth="1"/>
    <col min="15" max="15" width="56" customWidth="1"/>
    <col min="16" max="16" width="8.54296875" customWidth="1"/>
  </cols>
  <sheetData>
    <row r="1" spans="1:16" ht="18.5">
      <c r="A1" s="27" t="s">
        <v>0</v>
      </c>
      <c r="B1" s="27" t="s">
        <v>1</v>
      </c>
      <c r="C1" s="27" t="s">
        <v>2</v>
      </c>
      <c r="D1" s="27" t="s">
        <v>3</v>
      </c>
      <c r="E1" s="27" t="s">
        <v>4</v>
      </c>
      <c r="F1" s="27" t="s">
        <v>119</v>
      </c>
      <c r="G1" s="27" t="s">
        <v>120</v>
      </c>
      <c r="H1" s="27" t="s">
        <v>6</v>
      </c>
      <c r="I1" s="27" t="s">
        <v>7</v>
      </c>
      <c r="J1" s="27" t="s">
        <v>8</v>
      </c>
      <c r="K1" s="27" t="s">
        <v>9</v>
      </c>
      <c r="L1" s="27" t="s">
        <v>10</v>
      </c>
      <c r="M1" s="27" t="s">
        <v>11</v>
      </c>
      <c r="N1" s="27" t="s">
        <v>12</v>
      </c>
      <c r="O1" s="27" t="s">
        <v>13</v>
      </c>
      <c r="P1" s="27" t="s">
        <v>14</v>
      </c>
    </row>
    <row r="2" spans="1:16" ht="18.5">
      <c r="A2" s="29">
        <v>1</v>
      </c>
      <c r="B2" s="62" t="s">
        <v>121</v>
      </c>
      <c r="C2" s="63" t="s">
        <v>38</v>
      </c>
      <c r="D2" s="63" t="s">
        <v>16</v>
      </c>
      <c r="E2" s="32">
        <v>0.30486111111111103</v>
      </c>
      <c r="F2" s="64"/>
      <c r="G2" s="29" t="s">
        <v>122</v>
      </c>
      <c r="H2" s="29" t="s">
        <v>123</v>
      </c>
      <c r="I2" s="29" t="s">
        <v>124</v>
      </c>
      <c r="J2" s="64" t="s">
        <v>125</v>
      </c>
      <c r="K2" s="64" t="s">
        <v>18</v>
      </c>
      <c r="L2" s="63" t="s">
        <v>19</v>
      </c>
      <c r="M2" s="63" t="s">
        <v>20</v>
      </c>
      <c r="N2" s="32">
        <v>0.42916666666666697</v>
      </c>
      <c r="O2" s="66" t="s">
        <v>126</v>
      </c>
      <c r="P2" s="29" t="s">
        <v>21</v>
      </c>
    </row>
    <row r="3" spans="1:16" ht="18.5">
      <c r="A3" s="29">
        <f>A2+1</f>
        <v>2</v>
      </c>
      <c r="B3" s="62" t="s">
        <v>127</v>
      </c>
      <c r="C3" s="63" t="s">
        <v>128</v>
      </c>
      <c r="D3" s="63" t="s">
        <v>39</v>
      </c>
      <c r="E3" s="32">
        <v>0.41249999999999998</v>
      </c>
      <c r="F3" s="64"/>
      <c r="G3" s="29" t="s">
        <v>129</v>
      </c>
      <c r="H3" s="29" t="s">
        <v>130</v>
      </c>
      <c r="I3" s="29" t="s">
        <v>124</v>
      </c>
      <c r="J3" s="64" t="s">
        <v>131</v>
      </c>
      <c r="K3" s="64" t="s">
        <v>26</v>
      </c>
      <c r="L3" s="63" t="s">
        <v>19</v>
      </c>
      <c r="M3" s="63" t="s">
        <v>20</v>
      </c>
      <c r="N3" s="32">
        <v>0.65138888888888902</v>
      </c>
      <c r="O3" s="66" t="s">
        <v>126</v>
      </c>
      <c r="P3" s="29" t="s">
        <v>21</v>
      </c>
    </row>
    <row r="4" spans="1:16" ht="18.5">
      <c r="A4" s="29">
        <f t="shared" ref="A4:A16" si="0">A3+1</f>
        <v>3</v>
      </c>
      <c r="B4" s="62" t="s">
        <v>127</v>
      </c>
      <c r="C4" s="63" t="s">
        <v>128</v>
      </c>
      <c r="D4" s="63" t="s">
        <v>39</v>
      </c>
      <c r="E4" s="32">
        <v>0.41249999999999998</v>
      </c>
      <c r="F4" s="64"/>
      <c r="G4" s="29" t="s">
        <v>129</v>
      </c>
      <c r="H4" s="29" t="s">
        <v>130</v>
      </c>
      <c r="I4" s="29" t="s">
        <v>124</v>
      </c>
      <c r="J4" s="64" t="s">
        <v>131</v>
      </c>
      <c r="K4" s="64" t="s">
        <v>24</v>
      </c>
      <c r="L4" s="63" t="s">
        <v>19</v>
      </c>
      <c r="M4" s="63" t="s">
        <v>20</v>
      </c>
      <c r="N4" s="32">
        <v>0.65138888888888902</v>
      </c>
      <c r="O4" s="66" t="s">
        <v>126</v>
      </c>
      <c r="P4" s="29" t="s">
        <v>21</v>
      </c>
    </row>
    <row r="5" spans="1:16" ht="18.5">
      <c r="A5" s="29">
        <f t="shared" si="0"/>
        <v>4</v>
      </c>
      <c r="B5" s="62" t="s">
        <v>127</v>
      </c>
      <c r="C5" s="63" t="s">
        <v>38</v>
      </c>
      <c r="D5" s="63" t="s">
        <v>16</v>
      </c>
      <c r="E5" s="32">
        <v>0.96180555555555602</v>
      </c>
      <c r="F5" s="64"/>
      <c r="G5" s="29" t="s">
        <v>132</v>
      </c>
      <c r="H5" s="29" t="s">
        <v>133</v>
      </c>
      <c r="I5" s="29" t="s">
        <v>124</v>
      </c>
      <c r="J5" s="64" t="s">
        <v>134</v>
      </c>
      <c r="K5" s="64" t="s">
        <v>29</v>
      </c>
      <c r="L5" s="63" t="s">
        <v>19</v>
      </c>
      <c r="M5" s="63" t="s">
        <v>20</v>
      </c>
      <c r="N5" s="32">
        <v>0.96527777777777801</v>
      </c>
      <c r="O5" s="67" t="s">
        <v>135</v>
      </c>
      <c r="P5" s="29" t="s">
        <v>21</v>
      </c>
    </row>
    <row r="6" spans="1:16" ht="18.5">
      <c r="A6" s="29">
        <f t="shared" si="0"/>
        <v>5</v>
      </c>
      <c r="B6" s="62" t="s">
        <v>136</v>
      </c>
      <c r="C6" s="63" t="s">
        <v>137</v>
      </c>
      <c r="D6" s="63" t="s">
        <v>138</v>
      </c>
      <c r="E6" s="32">
        <v>0.48611111111111099</v>
      </c>
      <c r="F6" s="64"/>
      <c r="G6" s="29" t="s">
        <v>139</v>
      </c>
      <c r="H6" s="29" t="s">
        <v>140</v>
      </c>
      <c r="I6" s="29" t="s">
        <v>124</v>
      </c>
      <c r="J6" s="64" t="s">
        <v>141</v>
      </c>
      <c r="K6" s="64" t="s">
        <v>18</v>
      </c>
      <c r="L6" s="63" t="s">
        <v>19</v>
      </c>
      <c r="M6" s="63" t="s">
        <v>20</v>
      </c>
      <c r="N6" s="32">
        <v>0.48611111111111099</v>
      </c>
      <c r="O6" s="66" t="s">
        <v>126</v>
      </c>
      <c r="P6" s="29" t="s">
        <v>21</v>
      </c>
    </row>
    <row r="7" spans="1:16" ht="18.5">
      <c r="A7" s="29">
        <f t="shared" si="0"/>
        <v>6</v>
      </c>
      <c r="B7" s="62" t="s">
        <v>136</v>
      </c>
      <c r="C7" s="63" t="s">
        <v>38</v>
      </c>
      <c r="D7" s="63" t="s">
        <v>39</v>
      </c>
      <c r="E7" s="32">
        <v>0.625</v>
      </c>
      <c r="F7" s="64"/>
      <c r="G7" s="29" t="s">
        <v>142</v>
      </c>
      <c r="H7" s="29" t="s">
        <v>133</v>
      </c>
      <c r="I7" s="29" t="s">
        <v>124</v>
      </c>
      <c r="J7" s="64" t="s">
        <v>134</v>
      </c>
      <c r="K7" s="63" t="s">
        <v>26</v>
      </c>
      <c r="L7" s="63" t="s">
        <v>19</v>
      </c>
      <c r="M7" s="63" t="s">
        <v>20</v>
      </c>
      <c r="N7" s="32">
        <v>0.64375000000000004</v>
      </c>
      <c r="O7" s="66" t="s">
        <v>143</v>
      </c>
      <c r="P7" s="29" t="s">
        <v>21</v>
      </c>
    </row>
    <row r="8" spans="1:16" ht="18.5">
      <c r="A8" s="29">
        <f t="shared" si="0"/>
        <v>7</v>
      </c>
      <c r="B8" s="62" t="s">
        <v>144</v>
      </c>
      <c r="C8" s="63" t="s">
        <v>38</v>
      </c>
      <c r="D8" s="63" t="s">
        <v>39</v>
      </c>
      <c r="E8" s="32">
        <v>0.75</v>
      </c>
      <c r="F8" s="64"/>
      <c r="G8" s="29" t="s">
        <v>145</v>
      </c>
      <c r="H8" s="29" t="s">
        <v>146</v>
      </c>
      <c r="I8" s="29" t="s">
        <v>124</v>
      </c>
      <c r="J8" s="64" t="s">
        <v>147</v>
      </c>
      <c r="K8" s="63" t="s">
        <v>29</v>
      </c>
      <c r="L8" s="63" t="s">
        <v>19</v>
      </c>
      <c r="M8" s="63" t="s">
        <v>20</v>
      </c>
      <c r="N8" s="32">
        <v>0.75694444444444398</v>
      </c>
      <c r="O8" s="66" t="s">
        <v>135</v>
      </c>
      <c r="P8" s="29" t="s">
        <v>30</v>
      </c>
    </row>
    <row r="9" spans="1:16" ht="18.5">
      <c r="A9" s="29">
        <f t="shared" si="0"/>
        <v>8</v>
      </c>
      <c r="B9" s="62" t="s">
        <v>148</v>
      </c>
      <c r="C9" s="63" t="s">
        <v>38</v>
      </c>
      <c r="D9" s="63" t="s">
        <v>28</v>
      </c>
      <c r="E9" s="32">
        <v>0.45</v>
      </c>
      <c r="F9" s="64"/>
      <c r="G9" s="29" t="s">
        <v>149</v>
      </c>
      <c r="H9" s="29" t="s">
        <v>150</v>
      </c>
      <c r="I9" s="29" t="s">
        <v>124</v>
      </c>
      <c r="J9" s="64" t="s">
        <v>151</v>
      </c>
      <c r="K9" s="64" t="s">
        <v>24</v>
      </c>
      <c r="L9" s="63" t="s">
        <v>19</v>
      </c>
      <c r="M9" s="63" t="s">
        <v>20</v>
      </c>
      <c r="N9" s="32">
        <v>0.48958333333333298</v>
      </c>
      <c r="O9" s="66" t="s">
        <v>143</v>
      </c>
      <c r="P9" s="29" t="s">
        <v>21</v>
      </c>
    </row>
    <row r="10" spans="1:16" ht="18.5">
      <c r="A10" s="29">
        <f t="shared" si="0"/>
        <v>9</v>
      </c>
      <c r="B10" s="62" t="s">
        <v>148</v>
      </c>
      <c r="C10" s="63" t="s">
        <v>15</v>
      </c>
      <c r="D10" s="63" t="s">
        <v>39</v>
      </c>
      <c r="E10" s="32">
        <v>0.60416666666666696</v>
      </c>
      <c r="F10" s="64"/>
      <c r="G10" s="29" t="s">
        <v>152</v>
      </c>
      <c r="H10" s="29" t="s">
        <v>153</v>
      </c>
      <c r="I10" s="29" t="s">
        <v>124</v>
      </c>
      <c r="J10" s="63" t="s">
        <v>154</v>
      </c>
      <c r="K10" s="64" t="s">
        <v>24</v>
      </c>
      <c r="L10" s="63" t="s">
        <v>19</v>
      </c>
      <c r="M10" s="63" t="s">
        <v>20</v>
      </c>
      <c r="N10" s="32">
        <v>0.48958333333333298</v>
      </c>
      <c r="O10" s="66" t="s">
        <v>143</v>
      </c>
      <c r="P10" s="29" t="s">
        <v>21</v>
      </c>
    </row>
    <row r="11" spans="1:16" ht="18.5">
      <c r="A11" s="29">
        <f t="shared" si="0"/>
        <v>10</v>
      </c>
      <c r="B11" s="62" t="s">
        <v>155</v>
      </c>
      <c r="C11" s="63" t="s">
        <v>38</v>
      </c>
      <c r="D11" s="63" t="s">
        <v>28</v>
      </c>
      <c r="E11" s="32">
        <v>0.49236111111111103</v>
      </c>
      <c r="F11" s="64"/>
      <c r="G11" s="29" t="s">
        <v>129</v>
      </c>
      <c r="H11" s="29" t="s">
        <v>130</v>
      </c>
      <c r="I11" s="29" t="s">
        <v>124</v>
      </c>
      <c r="J11" s="63" t="s">
        <v>131</v>
      </c>
      <c r="K11" s="64" t="s">
        <v>24</v>
      </c>
      <c r="L11" s="63" t="s">
        <v>19</v>
      </c>
      <c r="M11" s="63" t="s">
        <v>20</v>
      </c>
      <c r="N11" s="32">
        <v>0.50694444444444398</v>
      </c>
      <c r="O11" s="66" t="s">
        <v>143</v>
      </c>
      <c r="P11" s="29" t="s">
        <v>21</v>
      </c>
    </row>
    <row r="12" spans="1:16" ht="18.5">
      <c r="A12" s="29">
        <f t="shared" si="0"/>
        <v>11</v>
      </c>
      <c r="B12" s="62" t="s">
        <v>156</v>
      </c>
      <c r="C12" s="63" t="s">
        <v>38</v>
      </c>
      <c r="D12" s="63" t="s">
        <v>28</v>
      </c>
      <c r="E12" s="32">
        <v>0.40277777777777801</v>
      </c>
      <c r="F12" s="64"/>
      <c r="G12" s="29" t="s">
        <v>149</v>
      </c>
      <c r="H12" s="29" t="s">
        <v>157</v>
      </c>
      <c r="I12" s="29" t="s">
        <v>124</v>
      </c>
      <c r="J12" s="64" t="s">
        <v>151</v>
      </c>
      <c r="K12" s="64" t="s">
        <v>26</v>
      </c>
      <c r="L12" s="63" t="s">
        <v>19</v>
      </c>
      <c r="M12" s="63" t="s">
        <v>20</v>
      </c>
      <c r="N12" s="32">
        <v>0.48958333333333298</v>
      </c>
      <c r="O12" s="66" t="s">
        <v>143</v>
      </c>
      <c r="P12" s="29" t="s">
        <v>21</v>
      </c>
    </row>
    <row r="13" spans="1:16" ht="18.5">
      <c r="A13" s="29">
        <f t="shared" si="0"/>
        <v>12</v>
      </c>
      <c r="B13" s="62" t="s">
        <v>158</v>
      </c>
      <c r="C13" s="63" t="s">
        <v>38</v>
      </c>
      <c r="D13" s="63" t="s">
        <v>28</v>
      </c>
      <c r="E13" s="32">
        <v>0.40277777777777801</v>
      </c>
      <c r="F13" s="64"/>
      <c r="G13" s="29" t="s">
        <v>159</v>
      </c>
      <c r="H13" s="29" t="s">
        <v>133</v>
      </c>
      <c r="I13" s="29" t="s">
        <v>124</v>
      </c>
      <c r="J13" s="64" t="s">
        <v>134</v>
      </c>
      <c r="K13" s="64" t="s">
        <v>29</v>
      </c>
      <c r="L13" s="63" t="s">
        <v>19</v>
      </c>
      <c r="M13" s="63" t="s">
        <v>19</v>
      </c>
      <c r="N13" s="34">
        <v>0.44930555555555601</v>
      </c>
      <c r="O13" s="66" t="s">
        <v>135</v>
      </c>
      <c r="P13" s="31" t="s">
        <v>30</v>
      </c>
    </row>
    <row r="14" spans="1:16" ht="18.5">
      <c r="A14" s="29">
        <f t="shared" si="0"/>
        <v>13</v>
      </c>
      <c r="B14" s="62" t="s">
        <v>160</v>
      </c>
      <c r="C14" s="63" t="s">
        <v>38</v>
      </c>
      <c r="D14" s="63" t="s">
        <v>28</v>
      </c>
      <c r="E14" s="32">
        <v>0.43055555555555602</v>
      </c>
      <c r="F14" s="64"/>
      <c r="G14" s="29" t="s">
        <v>149</v>
      </c>
      <c r="H14" s="29" t="s">
        <v>150</v>
      </c>
      <c r="I14" s="29" t="s">
        <v>124</v>
      </c>
      <c r="J14" s="64" t="s">
        <v>151</v>
      </c>
      <c r="K14" s="64" t="s">
        <v>29</v>
      </c>
      <c r="L14" s="63" t="s">
        <v>19</v>
      </c>
      <c r="M14" s="63" t="s">
        <v>19</v>
      </c>
      <c r="N14" s="34">
        <v>0.452777777777778</v>
      </c>
      <c r="O14" s="66" t="s">
        <v>161</v>
      </c>
      <c r="P14" s="31" t="s">
        <v>30</v>
      </c>
    </row>
    <row r="15" spans="1:16" ht="18.5">
      <c r="A15" s="29">
        <f t="shared" si="0"/>
        <v>14</v>
      </c>
      <c r="B15" s="62" t="s">
        <v>162</v>
      </c>
      <c r="C15" s="63" t="s">
        <v>85</v>
      </c>
      <c r="D15" s="63" t="s">
        <v>138</v>
      </c>
      <c r="E15" s="32">
        <v>0.51944444444444404</v>
      </c>
      <c r="F15" s="64"/>
      <c r="G15" s="29" t="s">
        <v>163</v>
      </c>
      <c r="H15" s="29" t="s">
        <v>164</v>
      </c>
      <c r="I15" s="29" t="s">
        <v>124</v>
      </c>
      <c r="J15" s="64" t="s">
        <v>165</v>
      </c>
      <c r="K15" s="64" t="s">
        <v>26</v>
      </c>
      <c r="L15" s="63" t="s">
        <v>19</v>
      </c>
      <c r="M15" s="63" t="s">
        <v>20</v>
      </c>
      <c r="N15" s="34">
        <v>0.54861111111111105</v>
      </c>
      <c r="O15" s="66" t="s">
        <v>143</v>
      </c>
      <c r="P15" s="31" t="s">
        <v>21</v>
      </c>
    </row>
    <row r="16" spans="1:16" ht="18.5">
      <c r="A16" s="29">
        <f t="shared" si="0"/>
        <v>15</v>
      </c>
      <c r="B16" s="62" t="s">
        <v>166</v>
      </c>
      <c r="C16" s="63" t="s">
        <v>38</v>
      </c>
      <c r="D16" s="63" t="s">
        <v>39</v>
      </c>
      <c r="E16" s="32">
        <v>0.78958333333333297</v>
      </c>
      <c r="F16" s="64"/>
      <c r="G16" s="29" t="s">
        <v>167</v>
      </c>
      <c r="H16" s="29" t="s">
        <v>164</v>
      </c>
      <c r="I16" s="29" t="s">
        <v>124</v>
      </c>
      <c r="J16" s="64" t="s">
        <v>165</v>
      </c>
      <c r="K16" s="64" t="s">
        <v>26</v>
      </c>
      <c r="L16" s="63" t="s">
        <v>19</v>
      </c>
      <c r="M16" s="63" t="s">
        <v>20</v>
      </c>
      <c r="N16" s="34">
        <v>0.79513888888888895</v>
      </c>
      <c r="O16" s="66" t="s">
        <v>143</v>
      </c>
      <c r="P16" s="31" t="s">
        <v>21</v>
      </c>
    </row>
    <row r="17" spans="1:16" ht="18.5">
      <c r="A17" s="29">
        <v>16</v>
      </c>
      <c r="B17" s="62" t="s">
        <v>168</v>
      </c>
      <c r="C17" s="63" t="s">
        <v>38</v>
      </c>
      <c r="D17" s="63" t="s">
        <v>39</v>
      </c>
      <c r="E17" s="32">
        <v>0.75833333333333297</v>
      </c>
      <c r="F17" s="64"/>
      <c r="G17" s="29" t="s">
        <v>169</v>
      </c>
      <c r="H17" s="29" t="s">
        <v>153</v>
      </c>
      <c r="I17" s="29" t="s">
        <v>124</v>
      </c>
      <c r="J17" s="63" t="s">
        <v>154</v>
      </c>
      <c r="K17" s="64" t="s">
        <v>29</v>
      </c>
      <c r="L17" s="63" t="s">
        <v>19</v>
      </c>
      <c r="M17" s="63" t="s">
        <v>19</v>
      </c>
      <c r="N17" s="34">
        <v>0.77847222222222201</v>
      </c>
      <c r="O17" s="66" t="s">
        <v>170</v>
      </c>
      <c r="P17" s="31" t="s">
        <v>30</v>
      </c>
    </row>
    <row r="18" spans="1:16" ht="18.5">
      <c r="A18" s="29">
        <v>17</v>
      </c>
      <c r="B18" s="65">
        <v>45784</v>
      </c>
      <c r="C18" s="63" t="s">
        <v>85</v>
      </c>
      <c r="D18" s="63" t="s">
        <v>28</v>
      </c>
      <c r="E18" s="32">
        <v>0.40972222222222199</v>
      </c>
      <c r="F18" s="64"/>
      <c r="G18" s="29" t="s">
        <v>129</v>
      </c>
      <c r="H18" s="29"/>
      <c r="I18" s="29"/>
      <c r="J18" s="63" t="s">
        <v>131</v>
      </c>
      <c r="K18" s="64" t="s">
        <v>29</v>
      </c>
      <c r="L18" s="63" t="s">
        <v>19</v>
      </c>
      <c r="M18" s="63" t="s">
        <v>19</v>
      </c>
      <c r="N18" s="32">
        <v>0.40972222222222199</v>
      </c>
      <c r="O18" s="66" t="s">
        <v>135</v>
      </c>
      <c r="P18" s="31" t="s">
        <v>30</v>
      </c>
    </row>
    <row r="19" spans="1:16" ht="18.5">
      <c r="A19" s="29">
        <v>18</v>
      </c>
      <c r="B19" s="65">
        <v>45784</v>
      </c>
      <c r="C19" s="63" t="s">
        <v>85</v>
      </c>
      <c r="D19" s="63" t="s">
        <v>28</v>
      </c>
      <c r="E19" s="32">
        <v>0.41111111111111098</v>
      </c>
      <c r="F19" s="64"/>
      <c r="G19" s="29" t="s">
        <v>171</v>
      </c>
      <c r="H19" s="29"/>
      <c r="I19" s="29"/>
      <c r="J19" s="63" t="s">
        <v>46</v>
      </c>
      <c r="K19" s="64" t="s">
        <v>29</v>
      </c>
      <c r="L19" s="63" t="s">
        <v>19</v>
      </c>
      <c r="M19" s="63" t="s">
        <v>19</v>
      </c>
      <c r="N19" s="32">
        <v>0.41111111111111098</v>
      </c>
      <c r="O19" s="66" t="s">
        <v>135</v>
      </c>
      <c r="P19" s="31" t="s">
        <v>30</v>
      </c>
    </row>
  </sheetData>
  <dataValidations count="7">
    <dataValidation type="list" allowBlank="1" showInputMessage="1" showErrorMessage="1" sqref="K1:M1" xr:uid="{00000000-0002-0000-0200-000000000000}">
      <formula1>#REF!</formula1>
    </dataValidation>
    <dataValidation type="list" allowBlank="1" showInputMessage="1" showErrorMessage="1" sqref="K11 K2:K8" xr:uid="{00000000-0002-0000-0200-000001000000}">
      <formula1>$U$2:$U$14</formula1>
    </dataValidation>
    <dataValidation type="list" allowBlank="1" showInputMessage="1" showErrorMessage="1" sqref="L11 L2:L6" xr:uid="{00000000-0002-0000-0200-000002000000}">
      <formula1>$V$2:$V$14</formula1>
    </dataValidation>
    <dataValidation type="list" allowBlank="1" showInputMessage="1" showErrorMessage="1" sqref="M11 M2:M6" xr:uid="{00000000-0002-0000-0200-000003000000}">
      <formula1>$W$2:$W$14</formula1>
    </dataValidation>
    <dataValidation type="list" allowBlank="1" showInputMessage="1" showErrorMessage="1" sqref="K9:K10 K12:K19" xr:uid="{00000000-0002-0000-0200-000004000000}">
      <formula1>$U$3:$U$14</formula1>
    </dataValidation>
    <dataValidation type="list" allowBlank="1" showInputMessage="1" showErrorMessage="1" sqref="L7:L10 L12:L19" xr:uid="{00000000-0002-0000-0200-000005000000}">
      <formula1>$V$3:$V$14</formula1>
    </dataValidation>
    <dataValidation type="list" allowBlank="1" showInputMessage="1" showErrorMessage="1" sqref="M7:M10 M12:M19" xr:uid="{00000000-0002-0000-0200-000006000000}">
      <formula1>$W$3:$W$14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25"/>
  <sheetViews>
    <sheetView zoomScale="90" zoomScaleNormal="90" workbookViewId="0">
      <pane ySplit="1" topLeftCell="A12" activePane="bottomLeft" state="frozen"/>
      <selection pane="bottomLeft" activeCell="D17" sqref="D17"/>
    </sheetView>
  </sheetViews>
  <sheetFormatPr defaultColWidth="9" defaultRowHeight="14.5"/>
  <cols>
    <col min="1" max="1" width="16.7265625" customWidth="1"/>
    <col min="2" max="2" width="23.26953125" customWidth="1"/>
    <col min="3" max="3" width="37.54296875" customWidth="1"/>
    <col min="4" max="4" width="17.54296875" customWidth="1"/>
    <col min="5" max="5" width="27.1796875" customWidth="1"/>
    <col min="6" max="6" width="36.453125" customWidth="1"/>
    <col min="7" max="7" width="16.453125" customWidth="1"/>
    <col min="8" max="8" width="85.453125" customWidth="1"/>
    <col min="9" max="9" width="59.7265625" customWidth="1"/>
    <col min="10" max="10" width="48.54296875" bestFit="1" customWidth="1"/>
    <col min="11" max="11" width="16.453125" bestFit="1" customWidth="1"/>
  </cols>
  <sheetData>
    <row r="1" spans="1:11" ht="15.5">
      <c r="A1" s="50" t="s">
        <v>172</v>
      </c>
      <c r="B1" s="50" t="s">
        <v>173</v>
      </c>
      <c r="C1" s="50" t="s">
        <v>174</v>
      </c>
      <c r="D1" s="50" t="s">
        <v>175</v>
      </c>
      <c r="E1" s="50" t="s">
        <v>176</v>
      </c>
      <c r="F1" s="50" t="s">
        <v>177</v>
      </c>
      <c r="G1" s="50" t="s">
        <v>178</v>
      </c>
      <c r="H1" s="50" t="s">
        <v>179</v>
      </c>
      <c r="I1" s="50" t="s">
        <v>180</v>
      </c>
      <c r="J1" s="50" t="s">
        <v>181</v>
      </c>
      <c r="K1" s="50" t="s">
        <v>1011</v>
      </c>
    </row>
    <row r="2" spans="1:11" ht="43.5">
      <c r="A2" s="51" t="s">
        <v>151</v>
      </c>
      <c r="B2" s="92" t="s">
        <v>1056</v>
      </c>
      <c r="C2" s="53" t="s">
        <v>182</v>
      </c>
      <c r="D2" s="92" t="s">
        <v>1055</v>
      </c>
      <c r="E2" s="80" t="s">
        <v>183</v>
      </c>
      <c r="F2" s="54" t="s">
        <v>184</v>
      </c>
      <c r="G2" s="55" t="s">
        <v>185</v>
      </c>
      <c r="H2" s="56" t="s">
        <v>186</v>
      </c>
      <c r="I2" s="47" t="s">
        <v>187</v>
      </c>
      <c r="J2" s="6" t="s">
        <v>188</v>
      </c>
      <c r="K2" s="49">
        <v>9989102704</v>
      </c>
    </row>
    <row r="3" spans="1:11" ht="58">
      <c r="A3" s="52" t="s">
        <v>189</v>
      </c>
      <c r="B3" s="90" t="s">
        <v>1045</v>
      </c>
      <c r="C3" s="93" t="s">
        <v>190</v>
      </c>
      <c r="D3" s="52" t="s">
        <v>191</v>
      </c>
      <c r="E3" s="88" t="s">
        <v>192</v>
      </c>
      <c r="F3" s="54" t="s">
        <v>193</v>
      </c>
      <c r="G3" s="57" t="s">
        <v>194</v>
      </c>
      <c r="H3" s="56" t="s">
        <v>1019</v>
      </c>
      <c r="I3" s="5" t="s">
        <v>195</v>
      </c>
      <c r="J3" s="6" t="s">
        <v>1020</v>
      </c>
      <c r="K3" s="49">
        <v>9972389367</v>
      </c>
    </row>
    <row r="4" spans="1:11" ht="43.5">
      <c r="A4" s="51" t="s">
        <v>196</v>
      </c>
      <c r="B4" s="51" t="s">
        <v>1057</v>
      </c>
      <c r="C4" s="93" t="s">
        <v>197</v>
      </c>
      <c r="D4" s="52" t="s">
        <v>198</v>
      </c>
      <c r="E4" s="52" t="s">
        <v>199</v>
      </c>
      <c r="F4" s="54" t="s">
        <v>200</v>
      </c>
      <c r="G4" s="57" t="s">
        <v>201</v>
      </c>
      <c r="H4" s="56" t="s">
        <v>202</v>
      </c>
      <c r="I4" s="47"/>
      <c r="J4" s="6"/>
      <c r="K4" s="49"/>
    </row>
    <row r="5" spans="1:11" ht="43.5">
      <c r="A5" s="52" t="s">
        <v>203</v>
      </c>
      <c r="B5" s="91" t="s">
        <v>1046</v>
      </c>
      <c r="C5" s="93" t="s">
        <v>204</v>
      </c>
      <c r="D5" s="52" t="s">
        <v>205</v>
      </c>
      <c r="E5" s="52" t="s">
        <v>206</v>
      </c>
      <c r="F5" s="54" t="s">
        <v>207</v>
      </c>
      <c r="G5" s="58">
        <v>9824476545</v>
      </c>
      <c r="H5" s="56" t="s">
        <v>208</v>
      </c>
      <c r="I5" s="54" t="s">
        <v>209</v>
      </c>
      <c r="J5" s="6" t="s">
        <v>210</v>
      </c>
      <c r="K5" s="49">
        <v>7043700191</v>
      </c>
    </row>
    <row r="6" spans="1:11" ht="43.5">
      <c r="A6" s="52" t="s">
        <v>211</v>
      </c>
      <c r="B6" s="90" t="s">
        <v>1047</v>
      </c>
      <c r="C6" s="93" t="s">
        <v>212</v>
      </c>
      <c r="D6" s="52" t="s">
        <v>213</v>
      </c>
      <c r="E6" s="52" t="s">
        <v>199</v>
      </c>
      <c r="F6" s="54" t="s">
        <v>200</v>
      </c>
      <c r="G6" s="57" t="s">
        <v>201</v>
      </c>
      <c r="H6" s="56" t="s">
        <v>1013</v>
      </c>
      <c r="I6" s="47" t="s">
        <v>214</v>
      </c>
      <c r="J6" s="6" t="s">
        <v>1012</v>
      </c>
      <c r="K6" s="49">
        <v>8600046934</v>
      </c>
    </row>
    <row r="7" spans="1:11" ht="43.5">
      <c r="A7" s="52" t="s">
        <v>215</v>
      </c>
      <c r="B7" s="90" t="s">
        <v>1048</v>
      </c>
      <c r="C7" s="93" t="s">
        <v>216</v>
      </c>
      <c r="D7" s="52" t="s">
        <v>217</v>
      </c>
      <c r="E7" s="52" t="s">
        <v>1014</v>
      </c>
      <c r="F7" s="54" t="s">
        <v>1016</v>
      </c>
      <c r="G7" s="57" t="s">
        <v>218</v>
      </c>
      <c r="H7" s="56" t="s">
        <v>219</v>
      </c>
      <c r="I7" s="61" t="s">
        <v>220</v>
      </c>
      <c r="J7" s="89" t="s">
        <v>1015</v>
      </c>
      <c r="K7" s="49" t="s">
        <v>1021</v>
      </c>
    </row>
    <row r="8" spans="1:11" ht="58">
      <c r="A8" s="59" t="s">
        <v>134</v>
      </c>
      <c r="B8" s="90" t="s">
        <v>1049</v>
      </c>
      <c r="C8" s="93" t="s">
        <v>221</v>
      </c>
      <c r="D8" s="52" t="s">
        <v>222</v>
      </c>
      <c r="E8" s="80" t="s">
        <v>1000</v>
      </c>
      <c r="F8" s="54" t="s">
        <v>1006</v>
      </c>
      <c r="G8" s="57" t="s">
        <v>223</v>
      </c>
      <c r="H8" s="81" t="s">
        <v>1004</v>
      </c>
      <c r="I8" s="5" t="s">
        <v>224</v>
      </c>
      <c r="J8" s="6" t="s">
        <v>225</v>
      </c>
      <c r="K8" s="49">
        <v>8873744466</v>
      </c>
    </row>
    <row r="9" spans="1:11" ht="43.5">
      <c r="A9" s="52" t="s">
        <v>226</v>
      </c>
      <c r="B9" s="90" t="s">
        <v>1054</v>
      </c>
      <c r="C9" s="94" t="s">
        <v>227</v>
      </c>
      <c r="D9" s="52" t="s">
        <v>228</v>
      </c>
      <c r="E9" s="52" t="s">
        <v>229</v>
      </c>
      <c r="F9" s="54" t="s">
        <v>230</v>
      </c>
      <c r="G9" s="57" t="s">
        <v>231</v>
      </c>
      <c r="H9" s="56" t="s">
        <v>202</v>
      </c>
      <c r="I9" s="5"/>
      <c r="J9" s="6"/>
      <c r="K9" s="49"/>
    </row>
    <row r="10" spans="1:11" ht="29">
      <c r="A10" s="59" t="s">
        <v>232</v>
      </c>
      <c r="B10" s="51" t="s">
        <v>1050</v>
      </c>
      <c r="C10" s="93" t="s">
        <v>1059</v>
      </c>
      <c r="D10" s="47" t="s">
        <v>233</v>
      </c>
      <c r="E10" s="107" t="s">
        <v>1306</v>
      </c>
      <c r="F10" s="5" t="s">
        <v>234</v>
      </c>
      <c r="G10" s="58">
        <v>9655888975</v>
      </c>
      <c r="H10" s="60" t="s">
        <v>235</v>
      </c>
      <c r="I10" s="5" t="s">
        <v>236</v>
      </c>
      <c r="J10" s="86" t="s">
        <v>1307</v>
      </c>
      <c r="K10" s="49">
        <v>9962314312</v>
      </c>
    </row>
    <row r="11" spans="1:11" ht="43.5">
      <c r="A11" s="52" t="s">
        <v>237</v>
      </c>
      <c r="B11" s="90" t="s">
        <v>1051</v>
      </c>
      <c r="C11" s="93" t="s">
        <v>238</v>
      </c>
      <c r="D11" s="52" t="s">
        <v>239</v>
      </c>
      <c r="E11" s="52" t="s">
        <v>240</v>
      </c>
      <c r="F11" s="54" t="s">
        <v>241</v>
      </c>
      <c r="G11" s="57" t="s">
        <v>242</v>
      </c>
      <c r="H11" s="56" t="s">
        <v>243</v>
      </c>
      <c r="I11" s="5" t="s">
        <v>244</v>
      </c>
      <c r="J11" s="6" t="s">
        <v>210</v>
      </c>
      <c r="K11" s="49">
        <v>7043700191</v>
      </c>
    </row>
    <row r="12" spans="1:11" ht="29">
      <c r="A12" s="59" t="s">
        <v>125</v>
      </c>
      <c r="B12" s="51" t="s">
        <v>245</v>
      </c>
      <c r="C12" s="93" t="s">
        <v>246</v>
      </c>
      <c r="D12" s="52" t="s">
        <v>247</v>
      </c>
      <c r="E12" s="80" t="s">
        <v>999</v>
      </c>
      <c r="F12" s="54" t="s">
        <v>1003</v>
      </c>
      <c r="G12" s="58">
        <v>7981357484</v>
      </c>
      <c r="H12" s="83" t="s">
        <v>1007</v>
      </c>
      <c r="I12" s="47" t="s">
        <v>248</v>
      </c>
      <c r="J12" s="6" t="s">
        <v>1008</v>
      </c>
      <c r="K12" s="49">
        <v>9711404163</v>
      </c>
    </row>
    <row r="13" spans="1:11" ht="43.5">
      <c r="A13" s="52" t="s">
        <v>249</v>
      </c>
      <c r="B13" s="90" t="s">
        <v>1052</v>
      </c>
      <c r="C13" s="93" t="s">
        <v>250</v>
      </c>
      <c r="D13" s="52" t="s">
        <v>251</v>
      </c>
      <c r="E13" s="52" t="s">
        <v>252</v>
      </c>
      <c r="F13" s="54" t="s">
        <v>253</v>
      </c>
      <c r="G13" s="57" t="s">
        <v>254</v>
      </c>
      <c r="H13" s="56" t="s">
        <v>255</v>
      </c>
      <c r="I13" s="5" t="s">
        <v>256</v>
      </c>
      <c r="J13" s="86" t="s">
        <v>1017</v>
      </c>
      <c r="K13" s="49">
        <v>9481111106</v>
      </c>
    </row>
    <row r="14" spans="1:11" ht="43.5">
      <c r="A14" s="59" t="s">
        <v>131</v>
      </c>
      <c r="B14" s="52"/>
      <c r="C14" s="93" t="s">
        <v>1060</v>
      </c>
      <c r="D14" s="85" t="s">
        <v>1010</v>
      </c>
      <c r="E14" s="78" t="s">
        <v>999</v>
      </c>
      <c r="F14" s="54" t="s">
        <v>1003</v>
      </c>
      <c r="G14" s="58">
        <v>9000160565</v>
      </c>
      <c r="H14" s="82" t="s">
        <v>1002</v>
      </c>
      <c r="I14" s="47" t="s">
        <v>187</v>
      </c>
      <c r="J14" s="6" t="s">
        <v>257</v>
      </c>
      <c r="K14" s="49">
        <v>9866187186</v>
      </c>
    </row>
    <row r="15" spans="1:11" ht="72.5">
      <c r="A15" s="52" t="s">
        <v>258</v>
      </c>
      <c r="B15" s="107" t="s">
        <v>1311</v>
      </c>
      <c r="C15" s="93" t="s">
        <v>1310</v>
      </c>
      <c r="D15" s="92" t="s">
        <v>1058</v>
      </c>
      <c r="E15" s="52" t="s">
        <v>259</v>
      </c>
      <c r="F15" s="54" t="s">
        <v>260</v>
      </c>
      <c r="G15" s="57" t="s">
        <v>261</v>
      </c>
      <c r="H15" s="56" t="s">
        <v>1066</v>
      </c>
      <c r="I15" s="5" t="s">
        <v>262</v>
      </c>
      <c r="J15" s="95" t="s">
        <v>1065</v>
      </c>
      <c r="K15" s="49">
        <v>8451945219</v>
      </c>
    </row>
    <row r="16" spans="1:11" ht="29">
      <c r="A16" s="59" t="s">
        <v>147</v>
      </c>
      <c r="B16" s="51" t="s">
        <v>263</v>
      </c>
      <c r="C16" s="93" t="s">
        <v>264</v>
      </c>
      <c r="D16" s="84" t="s">
        <v>1009</v>
      </c>
      <c r="E16" s="107" t="s">
        <v>1309</v>
      </c>
      <c r="F16" s="54" t="s">
        <v>1018</v>
      </c>
      <c r="G16" s="58">
        <v>9655888975</v>
      </c>
      <c r="H16" s="108" t="s">
        <v>1308</v>
      </c>
      <c r="I16" s="47" t="s">
        <v>265</v>
      </c>
      <c r="J16" s="86" t="s">
        <v>266</v>
      </c>
      <c r="K16" s="49">
        <v>9962314312</v>
      </c>
    </row>
    <row r="17" spans="1:11" ht="58">
      <c r="A17" s="59" t="s">
        <v>154</v>
      </c>
      <c r="B17" s="104" t="s">
        <v>1100</v>
      </c>
      <c r="C17" s="54" t="s">
        <v>1101</v>
      </c>
      <c r="D17" s="104" t="s">
        <v>1102</v>
      </c>
      <c r="E17" s="105" t="s">
        <v>1001</v>
      </c>
      <c r="F17" s="54" t="s">
        <v>1005</v>
      </c>
      <c r="G17" s="58">
        <v>8870176186</v>
      </c>
      <c r="H17" s="60" t="s">
        <v>267</v>
      </c>
      <c r="I17" s="47" t="s">
        <v>268</v>
      </c>
      <c r="J17" s="54" t="s">
        <v>1005</v>
      </c>
      <c r="K17" s="49">
        <v>8870176186</v>
      </c>
    </row>
    <row r="18" spans="1:11" ht="43.5">
      <c r="A18" s="51" t="s">
        <v>269</v>
      </c>
      <c r="B18" s="90" t="s">
        <v>1053</v>
      </c>
      <c r="C18" s="93" t="s">
        <v>1061</v>
      </c>
      <c r="D18" s="52" t="s">
        <v>270</v>
      </c>
      <c r="E18" s="78" t="s">
        <v>1000</v>
      </c>
      <c r="F18" s="54" t="s">
        <v>1006</v>
      </c>
      <c r="G18" s="57" t="s">
        <v>223</v>
      </c>
      <c r="H18" s="56" t="s">
        <v>202</v>
      </c>
      <c r="I18" s="47"/>
      <c r="J18" s="6"/>
      <c r="K18" s="49"/>
    </row>
    <row r="19" spans="1:11" ht="20.149999999999999" customHeight="1">
      <c r="A19" s="51" t="s">
        <v>271</v>
      </c>
      <c r="B19" s="52" t="s">
        <v>1033</v>
      </c>
      <c r="C19" s="54"/>
      <c r="D19" s="52"/>
      <c r="E19" s="78"/>
      <c r="F19" s="54"/>
      <c r="G19" s="57"/>
      <c r="H19" s="5" t="s">
        <v>1031</v>
      </c>
      <c r="I19" s="47"/>
      <c r="J19" s="54" t="s">
        <v>1028</v>
      </c>
      <c r="K19" s="49"/>
    </row>
    <row r="20" spans="1:11" ht="20.149999999999999" customHeight="1">
      <c r="A20" s="51" t="s">
        <v>272</v>
      </c>
      <c r="B20" s="52" t="s">
        <v>1034</v>
      </c>
      <c r="C20" s="54"/>
      <c r="D20" s="52"/>
      <c r="E20" s="78"/>
      <c r="F20" s="54"/>
      <c r="G20" s="57"/>
      <c r="H20" s="5" t="s">
        <v>1027</v>
      </c>
      <c r="I20" s="47"/>
      <c r="J20" s="54" t="s">
        <v>1026</v>
      </c>
      <c r="K20" s="49"/>
    </row>
    <row r="21" spans="1:11" ht="20.149999999999999" customHeight="1">
      <c r="A21" s="51" t="s">
        <v>478</v>
      </c>
      <c r="B21" s="52" t="s">
        <v>1035</v>
      </c>
      <c r="C21" s="54"/>
      <c r="D21" s="52"/>
      <c r="E21" s="78"/>
      <c r="F21" s="54"/>
      <c r="G21" s="57"/>
      <c r="H21" s="5" t="s">
        <v>1025</v>
      </c>
      <c r="I21" s="47"/>
      <c r="J21" s="54" t="s">
        <v>1024</v>
      </c>
      <c r="K21" s="49"/>
    </row>
    <row r="22" spans="1:11" ht="20.149999999999999" customHeight="1">
      <c r="A22" s="51" t="s">
        <v>527</v>
      </c>
      <c r="B22" s="52" t="s">
        <v>1034</v>
      </c>
      <c r="C22" s="54"/>
      <c r="D22" s="52"/>
      <c r="E22" s="78"/>
      <c r="F22" s="54"/>
      <c r="G22" s="57"/>
      <c r="H22" s="5" t="s">
        <v>1023</v>
      </c>
      <c r="I22" s="47"/>
      <c r="J22" s="54" t="s">
        <v>1022</v>
      </c>
      <c r="K22" s="49"/>
    </row>
    <row r="23" spans="1:11" ht="20.149999999999999" customHeight="1">
      <c r="A23" s="51" t="s">
        <v>477</v>
      </c>
      <c r="B23" s="52" t="s">
        <v>1036</v>
      </c>
      <c r="C23" s="54"/>
      <c r="D23" s="52"/>
      <c r="E23" s="78"/>
      <c r="F23" s="54"/>
      <c r="G23" s="57"/>
      <c r="H23" s="5" t="s">
        <v>1029</v>
      </c>
      <c r="I23" s="47"/>
      <c r="J23" s="54" t="s">
        <v>1029</v>
      </c>
      <c r="K23" s="49"/>
    </row>
    <row r="24" spans="1:11" ht="20.149999999999999" customHeight="1">
      <c r="A24" s="51" t="s">
        <v>1030</v>
      </c>
      <c r="B24" s="52" t="s">
        <v>1037</v>
      </c>
      <c r="C24" s="54"/>
      <c r="D24" s="52"/>
      <c r="E24" s="78"/>
      <c r="F24" s="54"/>
      <c r="G24" s="57"/>
      <c r="H24" s="5" t="s">
        <v>1031</v>
      </c>
      <c r="I24" s="47"/>
      <c r="J24" s="54" t="s">
        <v>1031</v>
      </c>
      <c r="K24" s="49"/>
    </row>
    <row r="25" spans="1:11" ht="20.149999999999999" customHeight="1">
      <c r="A25" s="51" t="s">
        <v>974</v>
      </c>
      <c r="B25" s="52" t="s">
        <v>1033</v>
      </c>
      <c r="C25" s="54"/>
      <c r="D25" s="52"/>
      <c r="E25" s="78"/>
      <c r="F25" s="54"/>
      <c r="G25" s="57"/>
      <c r="H25" s="5" t="s">
        <v>1032</v>
      </c>
      <c r="I25" s="47"/>
      <c r="J25" s="54" t="s">
        <v>1028</v>
      </c>
      <c r="K25" s="49"/>
    </row>
  </sheetData>
  <hyperlinks>
    <hyperlink ref="F2" r:id="rId1" xr:uid="{00000000-0004-0000-0300-000000000000}"/>
    <hyperlink ref="C9" r:id="rId2" xr:uid="{00000000-0004-0000-0300-000001000000}"/>
    <hyperlink ref="C2" r:id="rId3" xr:uid="{00000000-0004-0000-0300-000002000000}"/>
    <hyperlink ref="C8" r:id="rId4" xr:uid="{00000000-0004-0000-0300-000003000000}"/>
    <hyperlink ref="F5" r:id="rId5" xr:uid="{00000000-0004-0000-0300-000004000000}"/>
    <hyperlink ref="F10" r:id="rId6" xr:uid="{00000000-0004-0000-0300-000006000000}"/>
    <hyperlink ref="C11" r:id="rId7" xr:uid="{00000000-0004-0000-0300-000007000000}"/>
    <hyperlink ref="C13" r:id="rId8" xr:uid="{00000000-0004-0000-0300-000008000000}"/>
    <hyperlink ref="C16" r:id="rId9" xr:uid="{00000000-0004-0000-0300-00000A000000}"/>
    <hyperlink ref="C5" r:id="rId10" xr:uid="{00000000-0004-0000-0300-00000B000000}"/>
    <hyperlink ref="C12" r:id="rId11" xr:uid="{00000000-0004-0000-0300-00000D000000}"/>
    <hyperlink ref="C7" r:id="rId12" xr:uid="{00000000-0004-0000-0300-00000E000000}"/>
    <hyperlink ref="F17" r:id="rId13" xr:uid="{00000000-0004-0000-0300-00000F000000}"/>
    <hyperlink ref="F16" r:id="rId14" xr:uid="{00000000-0004-0000-0300-000010000000}"/>
    <hyperlink ref="C14" r:id="rId15" xr:uid="{00000000-0004-0000-0300-000011000000}"/>
    <hyperlink ref="C4" r:id="rId16" xr:uid="{00000000-0004-0000-0300-000013000000}"/>
    <hyperlink ref="F6" r:id="rId17" xr:uid="{00000000-0004-0000-0300-000014000000}"/>
    <hyperlink ref="H2" r:id="rId18" xr:uid="{00000000-0004-0000-0300-000015000000}"/>
    <hyperlink ref="F13" r:id="rId19" xr:uid="{00000000-0004-0000-0300-000016000000}"/>
    <hyperlink ref="I5" r:id="rId20" xr:uid="{00000000-0004-0000-0300-000017000000}"/>
    <hyperlink ref="I8" r:id="rId21" xr:uid="{00000000-0004-0000-0300-000018000000}"/>
    <hyperlink ref="I13" r:id="rId22" xr:uid="{00000000-0004-0000-0300-000019000000}"/>
    <hyperlink ref="I3" r:id="rId23" xr:uid="{00000000-0004-0000-0300-00001A000000}"/>
    <hyperlink ref="I10" r:id="rId24" xr:uid="{00000000-0004-0000-0300-00001B000000}"/>
    <hyperlink ref="I11" r:id="rId25" xr:uid="{00000000-0004-0000-0300-00001C000000}"/>
    <hyperlink ref="I15" r:id="rId26" xr:uid="{00000000-0004-0000-0300-00001D000000}"/>
    <hyperlink ref="C18" r:id="rId27" display="_x000a_c.logistics.ennore@think-gas.com  mohammed.fyzan@think-gas.com haresh.jk@think-gas.com" xr:uid="{00000000-0004-0000-0300-00001E000000}"/>
    <hyperlink ref="I7" r:id="rId28" xr:uid="{00000000-0004-0000-0300-00001F000000}"/>
    <hyperlink ref="C3" r:id="rId29" xr:uid="{00000000-0004-0000-0300-000022000000}"/>
    <hyperlink ref="F4" r:id="rId30" xr:uid="{00000000-0004-0000-0300-000023000000}"/>
    <hyperlink ref="F11" r:id="rId31" xr:uid="{00000000-0004-0000-0300-000024000000}"/>
    <hyperlink ref="F9" r:id="rId32" xr:uid="{00000000-0004-0000-0300-000025000000}"/>
    <hyperlink ref="F8" r:id="rId33" xr:uid="{1DD7BFD8-F21D-473F-BF99-3EC55D2CE8D1}"/>
    <hyperlink ref="F7" r:id="rId34" xr:uid="{679D221A-7DFE-48AC-84F7-0FA5F04723AA}"/>
    <hyperlink ref="J17" r:id="rId35" xr:uid="{D4BE0EA1-2B69-41F9-A514-7FE067225BE0}"/>
    <hyperlink ref="J13" r:id="rId36" xr:uid="{770F2434-9F27-4AA1-B6A7-1FAAA01AB0B4}"/>
    <hyperlink ref="J16" r:id="rId37" xr:uid="{5695DE3B-E5D3-4FB8-9641-ABC1640A6AF9}"/>
    <hyperlink ref="J22" r:id="rId38" xr:uid="{64512ED8-5124-4E40-A50F-0C2445528DB2}"/>
    <hyperlink ref="J21" r:id="rId39" xr:uid="{0279AD12-B498-4892-8A5C-4EA9CED452D0}"/>
    <hyperlink ref="H21" r:id="rId40" xr:uid="{039D6E87-3E24-4857-B7EC-E632EAF408EC}"/>
    <hyperlink ref="J20" r:id="rId41" xr:uid="{F5D0CDD6-88E7-4A2A-9CD4-CD5C9C09D4F5}"/>
    <hyperlink ref="H20" r:id="rId42" xr:uid="{9E3C571F-77B9-4EE7-AFDF-9913FBCE2D7D}"/>
    <hyperlink ref="H19" r:id="rId43" xr:uid="{417FB221-0758-4643-A94F-65E768B7DDA6}"/>
    <hyperlink ref="J19" r:id="rId44" xr:uid="{DA925608-F76A-48B9-A9B2-FE02428FEFA3}"/>
    <hyperlink ref="H23" r:id="rId45" xr:uid="{88432977-A984-4B59-A631-1B40193E75C1}"/>
    <hyperlink ref="J23" r:id="rId46" xr:uid="{1C705433-D75C-4BFB-819B-FA2EF0ED0217}"/>
    <hyperlink ref="H24" r:id="rId47" xr:uid="{E30556BD-F748-45E0-B125-DB61678BF876}"/>
    <hyperlink ref="J24" r:id="rId48" xr:uid="{72F19333-37BB-49F0-943F-790D96812F5E}"/>
    <hyperlink ref="H25" r:id="rId49" xr:uid="{CB515DD0-65E5-4AA4-9D10-BF637837B659}"/>
    <hyperlink ref="J25" r:id="rId50" xr:uid="{4060A138-0DFC-476D-8C3A-A8021BF13A5B}"/>
    <hyperlink ref="C17" r:id="rId51" display="rmd.logistics@think-gas.com" xr:uid="{221086C8-94B2-40BE-94F1-B7531680CCF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AB3DA-D69C-4A6C-A936-74EEBB0248C6}">
  <dimension ref="A1:D455"/>
  <sheetViews>
    <sheetView tabSelected="1" topLeftCell="A439" workbookViewId="0">
      <selection activeCell="C457" sqref="C457"/>
    </sheetView>
  </sheetViews>
  <sheetFormatPr defaultColWidth="9.1796875" defaultRowHeight="14.5"/>
  <cols>
    <col min="1" max="1" width="25" style="136" customWidth="1"/>
    <col min="2" max="2" width="18.1796875" style="136" customWidth="1"/>
    <col min="3" max="3" width="32.26953125" style="136" customWidth="1"/>
    <col min="4" max="4" width="18.1796875" style="136" customWidth="1"/>
    <col min="5" max="16384" width="9.1796875" style="136"/>
  </cols>
  <sheetData>
    <row r="1" spans="1:4" s="134" customFormat="1" ht="15.5">
      <c r="A1" s="133" t="s">
        <v>273</v>
      </c>
      <c r="B1" s="133" t="s">
        <v>274</v>
      </c>
      <c r="C1" s="133" t="s">
        <v>1893</v>
      </c>
      <c r="D1" s="133" t="s">
        <v>275</v>
      </c>
    </row>
    <row r="2" spans="1:4">
      <c r="A2" s="135" t="s">
        <v>584</v>
      </c>
      <c r="B2" s="135" t="s">
        <v>1894</v>
      </c>
      <c r="C2" s="135" t="s">
        <v>278</v>
      </c>
      <c r="D2" s="135" t="s">
        <v>586</v>
      </c>
    </row>
    <row r="3" spans="1:4">
      <c r="A3" s="135" t="s">
        <v>96</v>
      </c>
      <c r="B3" s="135" t="s">
        <v>1894</v>
      </c>
      <c r="C3" s="135" t="s">
        <v>278</v>
      </c>
      <c r="D3" s="135" t="s">
        <v>586</v>
      </c>
    </row>
    <row r="4" spans="1:4">
      <c r="A4" s="135" t="s">
        <v>58</v>
      </c>
      <c r="B4" s="135" t="s">
        <v>1894</v>
      </c>
      <c r="C4" s="135" t="s">
        <v>278</v>
      </c>
      <c r="D4" s="135" t="s">
        <v>587</v>
      </c>
    </row>
    <row r="5" spans="1:4">
      <c r="A5" s="135" t="s">
        <v>68</v>
      </c>
      <c r="B5" s="135" t="s">
        <v>1894</v>
      </c>
      <c r="C5" s="135" t="s">
        <v>278</v>
      </c>
      <c r="D5" s="135" t="s">
        <v>587</v>
      </c>
    </row>
    <row r="6" spans="1:4">
      <c r="A6" s="135" t="s">
        <v>588</v>
      </c>
      <c r="B6" s="135" t="s">
        <v>1894</v>
      </c>
      <c r="C6" s="135" t="s">
        <v>278</v>
      </c>
      <c r="D6" s="135" t="s">
        <v>587</v>
      </c>
    </row>
    <row r="7" spans="1:4">
      <c r="A7" s="135" t="s">
        <v>589</v>
      </c>
      <c r="B7" s="135" t="s">
        <v>1894</v>
      </c>
      <c r="C7" s="135" t="s">
        <v>278</v>
      </c>
      <c r="D7" s="135" t="s">
        <v>586</v>
      </c>
    </row>
    <row r="8" spans="1:4">
      <c r="A8" s="135" t="s">
        <v>590</v>
      </c>
      <c r="B8" s="135" t="s">
        <v>1894</v>
      </c>
      <c r="C8" s="135" t="s">
        <v>278</v>
      </c>
      <c r="D8" s="135" t="s">
        <v>587</v>
      </c>
    </row>
    <row r="9" spans="1:4">
      <c r="A9" s="135" t="s">
        <v>98</v>
      </c>
      <c r="B9" s="135" t="s">
        <v>1894</v>
      </c>
      <c r="C9" s="135" t="s">
        <v>278</v>
      </c>
      <c r="D9" s="135" t="s">
        <v>587</v>
      </c>
    </row>
    <row r="10" spans="1:4">
      <c r="A10" s="135" t="s">
        <v>591</v>
      </c>
      <c r="B10" s="135" t="s">
        <v>1894</v>
      </c>
      <c r="C10" s="135" t="s">
        <v>278</v>
      </c>
      <c r="D10" s="135" t="s">
        <v>592</v>
      </c>
    </row>
    <row r="11" spans="1:4">
      <c r="A11" s="135" t="s">
        <v>593</v>
      </c>
      <c r="B11" s="135" t="s">
        <v>1894</v>
      </c>
      <c r="C11" s="135" t="s">
        <v>278</v>
      </c>
      <c r="D11" s="135" t="s">
        <v>592</v>
      </c>
    </row>
    <row r="12" spans="1:4">
      <c r="A12" s="135" t="s">
        <v>595</v>
      </c>
      <c r="B12" s="135" t="s">
        <v>1894</v>
      </c>
      <c r="C12" s="135" t="s">
        <v>278</v>
      </c>
      <c r="D12" s="135" t="s">
        <v>587</v>
      </c>
    </row>
    <row r="13" spans="1:4">
      <c r="A13" s="135" t="s">
        <v>101</v>
      </c>
      <c r="B13" s="135" t="s">
        <v>1894</v>
      </c>
      <c r="C13" s="135" t="s">
        <v>278</v>
      </c>
      <c r="D13" s="135" t="s">
        <v>587</v>
      </c>
    </row>
    <row r="14" spans="1:4">
      <c r="A14" s="135" t="s">
        <v>596</v>
      </c>
      <c r="B14" s="135" t="s">
        <v>1894</v>
      </c>
      <c r="C14" s="135" t="s">
        <v>278</v>
      </c>
      <c r="D14" s="135" t="s">
        <v>592</v>
      </c>
    </row>
    <row r="15" spans="1:4">
      <c r="A15" s="135" t="s">
        <v>597</v>
      </c>
      <c r="B15" s="135" t="s">
        <v>1894</v>
      </c>
      <c r="C15" s="135" t="s">
        <v>278</v>
      </c>
      <c r="D15" s="135" t="s">
        <v>592</v>
      </c>
    </row>
    <row r="16" spans="1:4">
      <c r="A16" s="135" t="s">
        <v>598</v>
      </c>
      <c r="B16" s="135" t="s">
        <v>1894</v>
      </c>
      <c r="C16" s="135" t="s">
        <v>278</v>
      </c>
      <c r="D16" s="135" t="s">
        <v>587</v>
      </c>
    </row>
    <row r="17" spans="1:4">
      <c r="A17" s="135" t="s">
        <v>67</v>
      </c>
      <c r="B17" s="135" t="s">
        <v>1894</v>
      </c>
      <c r="C17" s="135" t="s">
        <v>278</v>
      </c>
      <c r="D17" s="135" t="s">
        <v>592</v>
      </c>
    </row>
    <row r="18" spans="1:4">
      <c r="A18" s="135" t="s">
        <v>599</v>
      </c>
      <c r="B18" s="135" t="s">
        <v>1894</v>
      </c>
      <c r="C18" s="135" t="s">
        <v>278</v>
      </c>
      <c r="D18" s="135" t="s">
        <v>592</v>
      </c>
    </row>
    <row r="19" spans="1:4">
      <c r="A19" s="135" t="s">
        <v>59</v>
      </c>
      <c r="B19" s="135" t="s">
        <v>1894</v>
      </c>
      <c r="C19" s="135" t="s">
        <v>278</v>
      </c>
      <c r="D19" s="135" t="s">
        <v>592</v>
      </c>
    </row>
    <row r="20" spans="1:4">
      <c r="A20" s="135" t="s">
        <v>600</v>
      </c>
      <c r="B20" s="135" t="s">
        <v>1894</v>
      </c>
      <c r="C20" s="135" t="s">
        <v>335</v>
      </c>
      <c r="D20" s="135" t="s">
        <v>586</v>
      </c>
    </row>
    <row r="21" spans="1:4">
      <c r="A21" s="135" t="s">
        <v>601</v>
      </c>
      <c r="B21" s="135" t="s">
        <v>1894</v>
      </c>
      <c r="C21" s="135" t="s">
        <v>335</v>
      </c>
      <c r="D21" s="135" t="s">
        <v>615</v>
      </c>
    </row>
    <row r="22" spans="1:4">
      <c r="A22" s="135" t="s">
        <v>602</v>
      </c>
      <c r="B22" s="135" t="s">
        <v>1894</v>
      </c>
      <c r="C22" s="135" t="s">
        <v>335</v>
      </c>
      <c r="D22" s="135" t="s">
        <v>586</v>
      </c>
    </row>
    <row r="23" spans="1:4">
      <c r="A23" s="135" t="s">
        <v>603</v>
      </c>
      <c r="B23" s="135" t="s">
        <v>1894</v>
      </c>
      <c r="C23" s="135" t="s">
        <v>335</v>
      </c>
      <c r="D23" s="135" t="s">
        <v>586</v>
      </c>
    </row>
    <row r="24" spans="1:4">
      <c r="A24" s="135" t="s">
        <v>604</v>
      </c>
      <c r="B24" s="135" t="s">
        <v>1894</v>
      </c>
      <c r="C24" s="135" t="s">
        <v>335</v>
      </c>
      <c r="D24" s="135" t="s">
        <v>615</v>
      </c>
    </row>
    <row r="25" spans="1:4">
      <c r="A25" s="135" t="s">
        <v>605</v>
      </c>
      <c r="B25" s="135" t="s">
        <v>1894</v>
      </c>
      <c r="C25" s="135" t="s">
        <v>278</v>
      </c>
      <c r="D25" s="135" t="s">
        <v>587</v>
      </c>
    </row>
    <row r="26" spans="1:4">
      <c r="A26" s="135" t="s">
        <v>606</v>
      </c>
      <c r="B26" s="135" t="s">
        <v>1894</v>
      </c>
      <c r="C26" s="135" t="s">
        <v>278</v>
      </c>
      <c r="D26" s="135" t="s">
        <v>587</v>
      </c>
    </row>
    <row r="27" spans="1:4">
      <c r="A27" s="135" t="s">
        <v>31</v>
      </c>
      <c r="B27" s="135" t="s">
        <v>1894</v>
      </c>
      <c r="C27" s="135" t="s">
        <v>278</v>
      </c>
      <c r="D27" s="135" t="s">
        <v>592</v>
      </c>
    </row>
    <row r="28" spans="1:4">
      <c r="A28" s="135" t="s">
        <v>55</v>
      </c>
      <c r="B28" s="135" t="s">
        <v>1894</v>
      </c>
      <c r="C28" s="135" t="s">
        <v>278</v>
      </c>
      <c r="D28" s="135" t="s">
        <v>587</v>
      </c>
    </row>
    <row r="29" spans="1:4">
      <c r="A29" s="135" t="s">
        <v>607</v>
      </c>
      <c r="B29" s="135" t="s">
        <v>1894</v>
      </c>
      <c r="C29" s="135" t="s">
        <v>335</v>
      </c>
      <c r="D29" s="135" t="s">
        <v>592</v>
      </c>
    </row>
    <row r="30" spans="1:4">
      <c r="A30" s="135" t="s">
        <v>608</v>
      </c>
      <c r="B30" s="135" t="s">
        <v>1894</v>
      </c>
      <c r="C30" s="135" t="s">
        <v>335</v>
      </c>
      <c r="D30" s="135" t="s">
        <v>587</v>
      </c>
    </row>
    <row r="31" spans="1:4">
      <c r="A31" s="135" t="s">
        <v>609</v>
      </c>
      <c r="B31" s="135" t="s">
        <v>1894</v>
      </c>
      <c r="C31" s="135" t="s">
        <v>335</v>
      </c>
      <c r="D31" s="135" t="s">
        <v>592</v>
      </c>
    </row>
    <row r="32" spans="1:4">
      <c r="A32" s="135" t="s">
        <v>610</v>
      </c>
      <c r="B32" s="135" t="s">
        <v>1894</v>
      </c>
      <c r="C32" s="135" t="s">
        <v>335</v>
      </c>
      <c r="D32" s="135" t="s">
        <v>587</v>
      </c>
    </row>
    <row r="33" spans="1:4">
      <c r="A33" s="135" t="s">
        <v>611</v>
      </c>
      <c r="B33" s="135" t="s">
        <v>1894</v>
      </c>
      <c r="C33" s="135" t="s">
        <v>617</v>
      </c>
      <c r="D33" s="135" t="s">
        <v>592</v>
      </c>
    </row>
    <row r="34" spans="1:4">
      <c r="A34" s="135" t="s">
        <v>74</v>
      </c>
      <c r="B34" s="135" t="s">
        <v>1894</v>
      </c>
      <c r="C34" s="135" t="s">
        <v>278</v>
      </c>
      <c r="D34" s="135" t="s">
        <v>587</v>
      </c>
    </row>
    <row r="35" spans="1:4">
      <c r="A35" s="135" t="s">
        <v>612</v>
      </c>
      <c r="B35" s="135" t="s">
        <v>1894</v>
      </c>
      <c r="C35" s="135" t="s">
        <v>278</v>
      </c>
      <c r="D35" s="135" t="s">
        <v>587</v>
      </c>
    </row>
    <row r="36" spans="1:4">
      <c r="A36" s="135" t="s">
        <v>99</v>
      </c>
      <c r="B36" s="135" t="s">
        <v>1894</v>
      </c>
      <c r="C36" s="135" t="s">
        <v>278</v>
      </c>
      <c r="D36" s="135" t="s">
        <v>587</v>
      </c>
    </row>
    <row r="37" spans="1:4">
      <c r="A37" s="135" t="s">
        <v>613</v>
      </c>
      <c r="B37" s="135" t="s">
        <v>1894</v>
      </c>
      <c r="C37" s="135" t="s">
        <v>335</v>
      </c>
      <c r="D37" s="135" t="s">
        <v>592</v>
      </c>
    </row>
    <row r="38" spans="1:4">
      <c r="A38" s="135" t="s">
        <v>614</v>
      </c>
      <c r="B38" s="135" t="s">
        <v>1894</v>
      </c>
      <c r="C38" s="135" t="s">
        <v>335</v>
      </c>
      <c r="D38" s="135" t="s">
        <v>615</v>
      </c>
    </row>
    <row r="39" spans="1:4">
      <c r="A39" s="135" t="s">
        <v>616</v>
      </c>
      <c r="B39" s="135" t="s">
        <v>1894</v>
      </c>
      <c r="C39" s="135" t="s">
        <v>335</v>
      </c>
      <c r="D39" s="135" t="s">
        <v>592</v>
      </c>
    </row>
    <row r="40" spans="1:4">
      <c r="A40" s="135" t="s">
        <v>105</v>
      </c>
      <c r="B40" s="135" t="s">
        <v>1894</v>
      </c>
      <c r="C40" s="135" t="s">
        <v>335</v>
      </c>
      <c r="D40" s="135" t="s">
        <v>587</v>
      </c>
    </row>
    <row r="41" spans="1:4">
      <c r="A41" s="135" t="s">
        <v>65</v>
      </c>
      <c r="B41" s="135" t="s">
        <v>1894</v>
      </c>
      <c r="C41" s="135" t="s">
        <v>335</v>
      </c>
      <c r="D41" s="135" t="s">
        <v>587</v>
      </c>
    </row>
    <row r="42" spans="1:4">
      <c r="A42" s="135" t="s">
        <v>73</v>
      </c>
      <c r="B42" s="135" t="s">
        <v>1894</v>
      </c>
      <c r="C42" s="135" t="s">
        <v>617</v>
      </c>
      <c r="D42" s="135" t="s">
        <v>592</v>
      </c>
    </row>
    <row r="43" spans="1:4">
      <c r="A43" s="135" t="s">
        <v>618</v>
      </c>
      <c r="B43" s="135" t="s">
        <v>1894</v>
      </c>
      <c r="C43" s="135" t="s">
        <v>335</v>
      </c>
      <c r="D43" s="135" t="s">
        <v>586</v>
      </c>
    </row>
    <row r="44" spans="1:4">
      <c r="A44" s="135" t="s">
        <v>88</v>
      </c>
      <c r="B44" s="135" t="s">
        <v>1894</v>
      </c>
      <c r="C44" s="135" t="s">
        <v>335</v>
      </c>
      <c r="D44" s="135" t="s">
        <v>586</v>
      </c>
    </row>
    <row r="45" spans="1:4">
      <c r="A45" s="135" t="s">
        <v>619</v>
      </c>
      <c r="B45" s="135" t="s">
        <v>1894</v>
      </c>
      <c r="C45" s="135" t="s">
        <v>617</v>
      </c>
      <c r="D45" s="135" t="s">
        <v>587</v>
      </c>
    </row>
    <row r="46" spans="1:4">
      <c r="A46" s="135" t="s">
        <v>620</v>
      </c>
      <c r="B46" s="135" t="s">
        <v>1894</v>
      </c>
      <c r="C46" s="135" t="s">
        <v>335</v>
      </c>
      <c r="D46" s="135" t="s">
        <v>587</v>
      </c>
    </row>
    <row r="47" spans="1:4">
      <c r="A47" s="135" t="s">
        <v>621</v>
      </c>
      <c r="B47" s="135" t="s">
        <v>1894</v>
      </c>
      <c r="C47" s="135" t="s">
        <v>278</v>
      </c>
      <c r="D47" s="135" t="s">
        <v>586</v>
      </c>
    </row>
    <row r="48" spans="1:4">
      <c r="A48" s="135" t="s">
        <v>622</v>
      </c>
      <c r="B48" s="135" t="s">
        <v>1894</v>
      </c>
      <c r="C48" s="135" t="s">
        <v>278</v>
      </c>
      <c r="D48" s="135" t="s">
        <v>586</v>
      </c>
    </row>
    <row r="49" spans="1:4">
      <c r="A49" s="135" t="s">
        <v>623</v>
      </c>
      <c r="B49" s="135" t="s">
        <v>1894</v>
      </c>
      <c r="C49" s="135" t="s">
        <v>278</v>
      </c>
      <c r="D49" s="135" t="s">
        <v>586</v>
      </c>
    </row>
    <row r="50" spans="1:4">
      <c r="A50" s="135" t="s">
        <v>624</v>
      </c>
      <c r="B50" s="135" t="s">
        <v>1894</v>
      </c>
      <c r="C50" s="135" t="s">
        <v>278</v>
      </c>
      <c r="D50" s="135" t="s">
        <v>586</v>
      </c>
    </row>
    <row r="51" spans="1:4">
      <c r="A51" s="135" t="s">
        <v>625</v>
      </c>
      <c r="B51" s="135" t="s">
        <v>1894</v>
      </c>
      <c r="C51" s="135" t="s">
        <v>278</v>
      </c>
      <c r="D51" s="135" t="s">
        <v>586</v>
      </c>
    </row>
    <row r="52" spans="1:4">
      <c r="A52" s="135" t="s">
        <v>35</v>
      </c>
      <c r="B52" s="135" t="s">
        <v>1894</v>
      </c>
      <c r="C52" s="135" t="s">
        <v>617</v>
      </c>
      <c r="D52" s="135" t="s">
        <v>587</v>
      </c>
    </row>
    <row r="53" spans="1:4">
      <c r="A53" s="135" t="s">
        <v>626</v>
      </c>
      <c r="B53" s="135" t="s">
        <v>1894</v>
      </c>
      <c r="C53" s="135" t="s">
        <v>1125</v>
      </c>
      <c r="D53" s="135" t="s">
        <v>586</v>
      </c>
    </row>
    <row r="54" spans="1:4">
      <c r="A54" s="135" t="s">
        <v>627</v>
      </c>
      <c r="B54" s="135" t="s">
        <v>1894</v>
      </c>
      <c r="C54" s="135" t="s">
        <v>617</v>
      </c>
      <c r="D54" s="135" t="s">
        <v>592</v>
      </c>
    </row>
    <row r="55" spans="1:4">
      <c r="A55" s="135" t="s">
        <v>628</v>
      </c>
      <c r="B55" s="135" t="s">
        <v>1894</v>
      </c>
      <c r="C55" s="135" t="s">
        <v>1039</v>
      </c>
      <c r="D55" s="135" t="s">
        <v>586</v>
      </c>
    </row>
    <row r="56" spans="1:4">
      <c r="A56" s="135" t="s">
        <v>629</v>
      </c>
      <c r="B56" s="135" t="s">
        <v>1894</v>
      </c>
      <c r="C56" s="135" t="s">
        <v>1125</v>
      </c>
      <c r="D56" s="135" t="s">
        <v>586</v>
      </c>
    </row>
    <row r="57" spans="1:4">
      <c r="A57" s="135" t="s">
        <v>45</v>
      </c>
      <c r="B57" s="135" t="s">
        <v>1894</v>
      </c>
      <c r="C57" s="135" t="s">
        <v>1039</v>
      </c>
      <c r="D57" s="135" t="s">
        <v>592</v>
      </c>
    </row>
    <row r="58" spans="1:4">
      <c r="A58" s="135" t="s">
        <v>37</v>
      </c>
      <c r="B58" s="135" t="s">
        <v>1894</v>
      </c>
      <c r="C58" s="135" t="s">
        <v>1039</v>
      </c>
      <c r="D58" s="135" t="s">
        <v>592</v>
      </c>
    </row>
    <row r="59" spans="1:4">
      <c r="A59" s="135" t="s">
        <v>94</v>
      </c>
      <c r="B59" s="135" t="s">
        <v>1894</v>
      </c>
      <c r="C59" s="135" t="s">
        <v>1039</v>
      </c>
      <c r="D59" s="135" t="s">
        <v>587</v>
      </c>
    </row>
    <row r="60" spans="1:4">
      <c r="A60" s="135" t="s">
        <v>100</v>
      </c>
      <c r="B60" s="135" t="s">
        <v>1894</v>
      </c>
      <c r="C60" s="135" t="s">
        <v>1039</v>
      </c>
      <c r="D60" s="135" t="s">
        <v>586</v>
      </c>
    </row>
    <row r="61" spans="1:4">
      <c r="A61" s="135" t="s">
        <v>22</v>
      </c>
      <c r="B61" s="135" t="s">
        <v>1894</v>
      </c>
      <c r="C61" s="135" t="s">
        <v>278</v>
      </c>
      <c r="D61" s="135" t="s">
        <v>586</v>
      </c>
    </row>
    <row r="62" spans="1:4">
      <c r="A62" s="135" t="s">
        <v>630</v>
      </c>
      <c r="B62" s="135" t="s">
        <v>1894</v>
      </c>
      <c r="C62" s="135" t="s">
        <v>335</v>
      </c>
      <c r="D62" s="135" t="s">
        <v>586</v>
      </c>
    </row>
    <row r="63" spans="1:4">
      <c r="A63" s="135" t="s">
        <v>631</v>
      </c>
      <c r="B63" s="135" t="s">
        <v>1894</v>
      </c>
      <c r="C63" s="135" t="s">
        <v>335</v>
      </c>
      <c r="D63" s="135" t="s">
        <v>615</v>
      </c>
    </row>
    <row r="64" spans="1:4">
      <c r="A64" s="135" t="s">
        <v>1127</v>
      </c>
      <c r="B64" s="135" t="s">
        <v>1894</v>
      </c>
      <c r="C64" s="135" t="s">
        <v>335</v>
      </c>
      <c r="D64" s="135" t="s">
        <v>586</v>
      </c>
    </row>
    <row r="65" spans="1:4">
      <c r="A65" s="135" t="s">
        <v>1038</v>
      </c>
      <c r="B65" s="135" t="s">
        <v>1894</v>
      </c>
      <c r="C65" s="135" t="s">
        <v>1039</v>
      </c>
      <c r="D65" s="135" t="s">
        <v>587</v>
      </c>
    </row>
    <row r="66" spans="1:4">
      <c r="A66" s="135" t="s">
        <v>1113</v>
      </c>
      <c r="B66" s="135" t="s">
        <v>1894</v>
      </c>
      <c r="C66" s="135" t="s">
        <v>1126</v>
      </c>
      <c r="D66" s="135" t="s">
        <v>592</v>
      </c>
    </row>
    <row r="67" spans="1:4">
      <c r="A67" s="135" t="s">
        <v>1128</v>
      </c>
      <c r="B67" s="135" t="s">
        <v>1894</v>
      </c>
      <c r="C67" s="135" t="s">
        <v>1126</v>
      </c>
      <c r="D67" s="135" t="s">
        <v>592</v>
      </c>
    </row>
    <row r="68" spans="1:4">
      <c r="A68" s="135" t="s">
        <v>1107</v>
      </c>
      <c r="B68" s="135" t="s">
        <v>1894</v>
      </c>
      <c r="C68" s="135" t="s">
        <v>1126</v>
      </c>
      <c r="D68" s="135" t="s">
        <v>586</v>
      </c>
    </row>
    <row r="69" spans="1:4">
      <c r="A69" s="135" t="s">
        <v>1129</v>
      </c>
      <c r="B69" s="135" t="s">
        <v>1894</v>
      </c>
      <c r="C69" s="135" t="s">
        <v>1039</v>
      </c>
      <c r="D69" s="135" t="s">
        <v>586</v>
      </c>
    </row>
    <row r="70" spans="1:4">
      <c r="A70" s="135" t="s">
        <v>276</v>
      </c>
      <c r="B70" s="135" t="s">
        <v>1895</v>
      </c>
      <c r="C70" s="135" t="s">
        <v>278</v>
      </c>
      <c r="D70" s="135" t="s">
        <v>279</v>
      </c>
    </row>
    <row r="71" spans="1:4">
      <c r="A71" s="135" t="s">
        <v>280</v>
      </c>
      <c r="B71" s="135" t="s">
        <v>1895</v>
      </c>
      <c r="C71" s="135" t="s">
        <v>1126</v>
      </c>
      <c r="D71" s="135" t="s">
        <v>165</v>
      </c>
    </row>
    <row r="72" spans="1:4">
      <c r="A72" s="135" t="s">
        <v>281</v>
      </c>
      <c r="B72" s="135" t="s">
        <v>1895</v>
      </c>
      <c r="C72" s="135" t="s">
        <v>1126</v>
      </c>
      <c r="D72" s="135" t="s">
        <v>125</v>
      </c>
    </row>
    <row r="73" spans="1:4">
      <c r="A73" s="135" t="s">
        <v>282</v>
      </c>
      <c r="B73" s="135" t="s">
        <v>1895</v>
      </c>
      <c r="C73" s="135" t="s">
        <v>278</v>
      </c>
      <c r="D73" s="135" t="s">
        <v>141</v>
      </c>
    </row>
    <row r="74" spans="1:4">
      <c r="A74" s="135" t="s">
        <v>283</v>
      </c>
      <c r="B74" s="135" t="s">
        <v>1895</v>
      </c>
      <c r="C74" s="135" t="s">
        <v>1126</v>
      </c>
      <c r="D74" s="135" t="s">
        <v>165</v>
      </c>
    </row>
    <row r="75" spans="1:4">
      <c r="A75" s="135" t="s">
        <v>284</v>
      </c>
      <c r="B75" s="135" t="s">
        <v>1895</v>
      </c>
      <c r="C75" s="135" t="s">
        <v>1126</v>
      </c>
      <c r="D75" s="135" t="s">
        <v>165</v>
      </c>
    </row>
    <row r="76" spans="1:4">
      <c r="A76" s="135" t="s">
        <v>285</v>
      </c>
      <c r="B76" s="135" t="s">
        <v>1895</v>
      </c>
      <c r="C76" s="135" t="s">
        <v>1126</v>
      </c>
      <c r="D76" s="135" t="s">
        <v>165</v>
      </c>
    </row>
    <row r="77" spans="1:4">
      <c r="A77" s="135" t="s">
        <v>286</v>
      </c>
      <c r="B77" s="135" t="s">
        <v>1895</v>
      </c>
      <c r="C77" s="135" t="s">
        <v>1126</v>
      </c>
      <c r="D77" s="135" t="s">
        <v>165</v>
      </c>
    </row>
    <row r="78" spans="1:4">
      <c r="A78" s="135" t="s">
        <v>287</v>
      </c>
      <c r="B78" s="135" t="s">
        <v>1895</v>
      </c>
      <c r="C78" s="135" t="s">
        <v>1126</v>
      </c>
      <c r="D78" s="135" t="s">
        <v>232</v>
      </c>
    </row>
    <row r="79" spans="1:4">
      <c r="A79" s="135" t="s">
        <v>288</v>
      </c>
      <c r="B79" s="135" t="s">
        <v>1895</v>
      </c>
      <c r="C79" s="135" t="s">
        <v>1126</v>
      </c>
      <c r="D79" s="135" t="s">
        <v>165</v>
      </c>
    </row>
    <row r="80" spans="1:4">
      <c r="A80" s="135" t="s">
        <v>289</v>
      </c>
      <c r="B80" s="135" t="s">
        <v>1895</v>
      </c>
      <c r="C80" s="135" t="s">
        <v>1126</v>
      </c>
      <c r="D80" s="135" t="s">
        <v>165</v>
      </c>
    </row>
    <row r="81" spans="1:4">
      <c r="A81" s="135" t="s">
        <v>290</v>
      </c>
      <c r="B81" s="135" t="s">
        <v>1895</v>
      </c>
      <c r="C81" s="135" t="s">
        <v>1126</v>
      </c>
      <c r="D81" s="135" t="s">
        <v>165</v>
      </c>
    </row>
    <row r="82" spans="1:4">
      <c r="A82" s="135" t="s">
        <v>64</v>
      </c>
      <c r="B82" s="135" t="s">
        <v>1895</v>
      </c>
      <c r="C82" s="135" t="s">
        <v>1126</v>
      </c>
      <c r="D82" s="135" t="s">
        <v>165</v>
      </c>
    </row>
    <row r="83" spans="1:4">
      <c r="A83" s="135" t="s">
        <v>291</v>
      </c>
      <c r="B83" s="135" t="s">
        <v>1895</v>
      </c>
      <c r="C83" s="135" t="s">
        <v>278</v>
      </c>
      <c r="D83" s="135" t="s">
        <v>310</v>
      </c>
    </row>
    <row r="84" spans="1:4">
      <c r="A84" s="135" t="s">
        <v>293</v>
      </c>
      <c r="B84" s="135" t="s">
        <v>1895</v>
      </c>
      <c r="C84" s="135" t="s">
        <v>1126</v>
      </c>
      <c r="D84" s="135" t="s">
        <v>294</v>
      </c>
    </row>
    <row r="85" spans="1:4">
      <c r="A85" s="135" t="s">
        <v>295</v>
      </c>
      <c r="B85" s="135" t="s">
        <v>1895</v>
      </c>
      <c r="C85" s="135" t="s">
        <v>278</v>
      </c>
      <c r="D85" s="135" t="s">
        <v>147</v>
      </c>
    </row>
    <row r="86" spans="1:4">
      <c r="A86" s="135" t="s">
        <v>296</v>
      </c>
      <c r="B86" s="135" t="s">
        <v>1895</v>
      </c>
      <c r="C86" s="135" t="s">
        <v>278</v>
      </c>
      <c r="D86" s="135" t="s">
        <v>46</v>
      </c>
    </row>
    <row r="87" spans="1:4">
      <c r="A87" s="135" t="s">
        <v>52</v>
      </c>
      <c r="B87" s="135" t="s">
        <v>1895</v>
      </c>
      <c r="C87" s="135" t="s">
        <v>278</v>
      </c>
      <c r="D87" s="135" t="s">
        <v>46</v>
      </c>
    </row>
    <row r="88" spans="1:4">
      <c r="A88" s="135" t="s">
        <v>297</v>
      </c>
      <c r="B88" s="135" t="s">
        <v>1895</v>
      </c>
      <c r="C88" s="135" t="s">
        <v>278</v>
      </c>
      <c r="D88" s="135" t="s">
        <v>46</v>
      </c>
    </row>
    <row r="89" spans="1:4">
      <c r="A89" s="135" t="s">
        <v>298</v>
      </c>
      <c r="B89" s="135" t="s">
        <v>1895</v>
      </c>
      <c r="C89" s="135" t="s">
        <v>278</v>
      </c>
      <c r="D89" s="135" t="s">
        <v>292</v>
      </c>
    </row>
    <row r="90" spans="1:4">
      <c r="A90" s="135" t="s">
        <v>56</v>
      </c>
      <c r="B90" s="135" t="s">
        <v>1895</v>
      </c>
      <c r="C90" s="135" t="s">
        <v>278</v>
      </c>
      <c r="D90" s="135" t="s">
        <v>279</v>
      </c>
    </row>
    <row r="91" spans="1:4">
      <c r="A91" s="135" t="s">
        <v>299</v>
      </c>
      <c r="B91" s="135" t="s">
        <v>1895</v>
      </c>
      <c r="C91" s="135" t="s">
        <v>1126</v>
      </c>
      <c r="D91" s="135" t="s">
        <v>147</v>
      </c>
    </row>
    <row r="92" spans="1:4">
      <c r="A92" s="135" t="s">
        <v>301</v>
      </c>
      <c r="B92" s="135" t="s">
        <v>1895</v>
      </c>
      <c r="C92" s="135" t="s">
        <v>278</v>
      </c>
      <c r="D92" s="135" t="s">
        <v>46</v>
      </c>
    </row>
    <row r="93" spans="1:4">
      <c r="A93" s="135" t="s">
        <v>302</v>
      </c>
      <c r="B93" s="135" t="s">
        <v>1895</v>
      </c>
      <c r="C93" s="135" t="s">
        <v>1126</v>
      </c>
      <c r="D93" s="135" t="s">
        <v>292</v>
      </c>
    </row>
    <row r="94" spans="1:4">
      <c r="A94" s="135" t="s">
        <v>303</v>
      </c>
      <c r="B94" s="135" t="s">
        <v>1895</v>
      </c>
      <c r="C94" s="135" t="s">
        <v>278</v>
      </c>
      <c r="D94" s="135" t="s">
        <v>46</v>
      </c>
    </row>
    <row r="95" spans="1:4">
      <c r="A95" s="135" t="s">
        <v>304</v>
      </c>
      <c r="B95" s="135" t="s">
        <v>1895</v>
      </c>
      <c r="C95" s="135" t="s">
        <v>1126</v>
      </c>
      <c r="D95" s="135" t="s">
        <v>151</v>
      </c>
    </row>
    <row r="96" spans="1:4">
      <c r="A96" s="135" t="s">
        <v>305</v>
      </c>
      <c r="B96" s="135" t="s">
        <v>1895</v>
      </c>
      <c r="C96" s="135" t="s">
        <v>278</v>
      </c>
      <c r="D96" s="135" t="s">
        <v>306</v>
      </c>
    </row>
    <row r="97" spans="1:4">
      <c r="A97" s="135" t="s">
        <v>307</v>
      </c>
      <c r="B97" s="135" t="s">
        <v>1895</v>
      </c>
      <c r="C97" s="135" t="s">
        <v>278</v>
      </c>
      <c r="D97" s="135" t="s">
        <v>279</v>
      </c>
    </row>
    <row r="98" spans="1:4">
      <c r="A98" s="135" t="s">
        <v>308</v>
      </c>
      <c r="B98" s="135" t="s">
        <v>1895</v>
      </c>
      <c r="C98" s="135" t="s">
        <v>1126</v>
      </c>
      <c r="D98" s="135" t="s">
        <v>125</v>
      </c>
    </row>
    <row r="99" spans="1:4">
      <c r="A99" s="135" t="s">
        <v>309</v>
      </c>
      <c r="B99" s="135" t="s">
        <v>1895</v>
      </c>
      <c r="C99" s="135" t="s">
        <v>1126</v>
      </c>
      <c r="D99" s="135" t="s">
        <v>125</v>
      </c>
    </row>
    <row r="100" spans="1:4">
      <c r="A100" s="135" t="s">
        <v>53</v>
      </c>
      <c r="B100" s="135" t="s">
        <v>1895</v>
      </c>
      <c r="C100" s="135" t="s">
        <v>1126</v>
      </c>
      <c r="D100" s="135" t="s">
        <v>125</v>
      </c>
    </row>
    <row r="101" spans="1:4">
      <c r="A101" s="135" t="s">
        <v>311</v>
      </c>
      <c r="B101" s="135" t="s">
        <v>1895</v>
      </c>
      <c r="C101" s="135" t="s">
        <v>278</v>
      </c>
      <c r="D101" s="135" t="s">
        <v>279</v>
      </c>
    </row>
    <row r="102" spans="1:4">
      <c r="A102" s="135" t="s">
        <v>312</v>
      </c>
      <c r="B102" s="135" t="s">
        <v>1895</v>
      </c>
      <c r="C102" s="135" t="s">
        <v>278</v>
      </c>
      <c r="D102" s="135" t="s">
        <v>154</v>
      </c>
    </row>
    <row r="103" spans="1:4">
      <c r="A103" s="135" t="s">
        <v>313</v>
      </c>
      <c r="B103" s="135" t="s">
        <v>1895</v>
      </c>
      <c r="C103" s="135" t="s">
        <v>278</v>
      </c>
      <c r="D103" s="135" t="s">
        <v>279</v>
      </c>
    </row>
    <row r="104" spans="1:4">
      <c r="A104" s="135" t="s">
        <v>102</v>
      </c>
      <c r="B104" s="135" t="s">
        <v>1895</v>
      </c>
      <c r="C104" s="135" t="s">
        <v>278</v>
      </c>
      <c r="D104" s="135" t="s">
        <v>279</v>
      </c>
    </row>
    <row r="105" spans="1:4">
      <c r="A105" s="135" t="s">
        <v>314</v>
      </c>
      <c r="B105" s="135" t="s">
        <v>1895</v>
      </c>
      <c r="C105" s="135" t="s">
        <v>278</v>
      </c>
      <c r="D105" s="135" t="s">
        <v>279</v>
      </c>
    </row>
    <row r="106" spans="1:4">
      <c r="A106" s="135" t="s">
        <v>47</v>
      </c>
      <c r="B106" s="135" t="s">
        <v>1895</v>
      </c>
      <c r="C106" s="135" t="s">
        <v>278</v>
      </c>
      <c r="D106" s="135" t="s">
        <v>279</v>
      </c>
    </row>
    <row r="107" spans="1:4">
      <c r="A107" s="135" t="s">
        <v>61</v>
      </c>
      <c r="B107" s="135" t="s">
        <v>1895</v>
      </c>
      <c r="C107" s="135" t="s">
        <v>278</v>
      </c>
      <c r="D107" s="135" t="s">
        <v>279</v>
      </c>
    </row>
    <row r="108" spans="1:4">
      <c r="A108" s="135" t="s">
        <v>315</v>
      </c>
      <c r="B108" s="135" t="s">
        <v>1895</v>
      </c>
      <c r="C108" s="135" t="s">
        <v>278</v>
      </c>
      <c r="D108" s="135" t="s">
        <v>279</v>
      </c>
    </row>
    <row r="109" spans="1:4">
      <c r="A109" s="135" t="s">
        <v>316</v>
      </c>
      <c r="B109" s="135" t="s">
        <v>1895</v>
      </c>
      <c r="C109" s="135" t="s">
        <v>278</v>
      </c>
      <c r="D109" s="135" t="s">
        <v>279</v>
      </c>
    </row>
    <row r="110" spans="1:4">
      <c r="A110" s="135" t="s">
        <v>317</v>
      </c>
      <c r="B110" s="135" t="s">
        <v>1895</v>
      </c>
      <c r="C110" s="135" t="s">
        <v>1126</v>
      </c>
      <c r="D110" s="135" t="s">
        <v>292</v>
      </c>
    </row>
    <row r="111" spans="1:4">
      <c r="A111" s="135" t="s">
        <v>318</v>
      </c>
      <c r="B111" s="135" t="s">
        <v>1895</v>
      </c>
      <c r="C111" s="135" t="s">
        <v>278</v>
      </c>
      <c r="D111" s="135" t="s">
        <v>279</v>
      </c>
    </row>
    <row r="112" spans="1:4">
      <c r="A112" s="135" t="s">
        <v>319</v>
      </c>
      <c r="B112" s="135" t="s">
        <v>1895</v>
      </c>
      <c r="C112" s="135" t="s">
        <v>1126</v>
      </c>
      <c r="D112" s="135" t="s">
        <v>310</v>
      </c>
    </row>
    <row r="113" spans="1:4">
      <c r="A113" s="135" t="s">
        <v>320</v>
      </c>
      <c r="B113" s="135" t="s">
        <v>1895</v>
      </c>
      <c r="C113" s="135" t="s">
        <v>278</v>
      </c>
      <c r="D113" s="135" t="s">
        <v>147</v>
      </c>
    </row>
    <row r="114" spans="1:4">
      <c r="A114" s="135" t="s">
        <v>321</v>
      </c>
      <c r="B114" s="135" t="s">
        <v>1895</v>
      </c>
      <c r="C114" s="135" t="s">
        <v>278</v>
      </c>
      <c r="D114" s="135" t="s">
        <v>292</v>
      </c>
    </row>
    <row r="115" spans="1:4">
      <c r="A115" s="135" t="s">
        <v>322</v>
      </c>
      <c r="B115" s="135" t="s">
        <v>1895</v>
      </c>
      <c r="C115" s="135" t="s">
        <v>1126</v>
      </c>
      <c r="D115" s="135" t="s">
        <v>165</v>
      </c>
    </row>
    <row r="116" spans="1:4">
      <c r="A116" s="135" t="s">
        <v>323</v>
      </c>
      <c r="B116" s="135" t="s">
        <v>1895</v>
      </c>
      <c r="C116" s="135" t="s">
        <v>1126</v>
      </c>
      <c r="D116" s="135" t="s">
        <v>165</v>
      </c>
    </row>
    <row r="117" spans="1:4">
      <c r="A117" s="135" t="s">
        <v>324</v>
      </c>
      <c r="B117" s="135" t="s">
        <v>1895</v>
      </c>
      <c r="C117" s="135" t="s">
        <v>278</v>
      </c>
      <c r="D117" s="135" t="s">
        <v>306</v>
      </c>
    </row>
    <row r="118" spans="1:4">
      <c r="A118" s="135" t="s">
        <v>325</v>
      </c>
      <c r="B118" s="135" t="s">
        <v>1895</v>
      </c>
      <c r="C118" s="135" t="s">
        <v>1126</v>
      </c>
      <c r="D118" s="135" t="s">
        <v>232</v>
      </c>
    </row>
    <row r="119" spans="1:4">
      <c r="A119" s="135" t="s">
        <v>326</v>
      </c>
      <c r="B119" s="135" t="s">
        <v>1895</v>
      </c>
      <c r="C119" s="135" t="s">
        <v>278</v>
      </c>
      <c r="D119" s="135" t="s">
        <v>279</v>
      </c>
    </row>
    <row r="120" spans="1:4">
      <c r="A120" s="135" t="s">
        <v>103</v>
      </c>
      <c r="B120" s="135" t="s">
        <v>1895</v>
      </c>
      <c r="C120" s="135" t="s">
        <v>278</v>
      </c>
      <c r="D120" s="135" t="s">
        <v>46</v>
      </c>
    </row>
    <row r="121" spans="1:4">
      <c r="A121" s="135" t="s">
        <v>36</v>
      </c>
      <c r="B121" s="135" t="s">
        <v>1895</v>
      </c>
      <c r="C121" s="135" t="s">
        <v>278</v>
      </c>
      <c r="D121" s="135" t="s">
        <v>279</v>
      </c>
    </row>
    <row r="122" spans="1:4">
      <c r="A122" s="135" t="s">
        <v>327</v>
      </c>
      <c r="B122" s="135" t="s">
        <v>1895</v>
      </c>
      <c r="C122" s="135" t="s">
        <v>278</v>
      </c>
      <c r="D122" s="135" t="s">
        <v>279</v>
      </c>
    </row>
    <row r="123" spans="1:4">
      <c r="A123" s="135" t="s">
        <v>328</v>
      </c>
      <c r="B123" s="135" t="s">
        <v>1895</v>
      </c>
      <c r="C123" s="135" t="s">
        <v>1126</v>
      </c>
      <c r="D123" s="135" t="s">
        <v>292</v>
      </c>
    </row>
    <row r="124" spans="1:4">
      <c r="A124" s="135" t="s">
        <v>329</v>
      </c>
      <c r="B124" s="135" t="s">
        <v>1895</v>
      </c>
      <c r="C124" s="135" t="s">
        <v>278</v>
      </c>
      <c r="D124" s="135" t="s">
        <v>292</v>
      </c>
    </row>
    <row r="125" spans="1:4">
      <c r="A125" s="135" t="s">
        <v>71</v>
      </c>
      <c r="B125" s="135" t="s">
        <v>1895</v>
      </c>
      <c r="C125" s="135" t="s">
        <v>1126</v>
      </c>
      <c r="D125" s="135" t="s">
        <v>141</v>
      </c>
    </row>
    <row r="126" spans="1:4">
      <c r="A126" s="135" t="s">
        <v>330</v>
      </c>
      <c r="B126" s="135" t="s">
        <v>1895</v>
      </c>
      <c r="C126" s="135" t="s">
        <v>1126</v>
      </c>
      <c r="D126" s="135" t="s">
        <v>310</v>
      </c>
    </row>
    <row r="127" spans="1:4">
      <c r="A127" s="135" t="s">
        <v>76</v>
      </c>
      <c r="B127" s="135" t="s">
        <v>1895</v>
      </c>
      <c r="C127" s="135" t="s">
        <v>1126</v>
      </c>
      <c r="D127" s="135" t="s">
        <v>292</v>
      </c>
    </row>
    <row r="128" spans="1:4">
      <c r="A128" s="135" t="s">
        <v>331</v>
      </c>
      <c r="B128" s="135" t="s">
        <v>1895</v>
      </c>
      <c r="C128" s="135" t="s">
        <v>278</v>
      </c>
      <c r="D128" s="135" t="s">
        <v>332</v>
      </c>
    </row>
    <row r="129" spans="1:4">
      <c r="A129" s="135" t="s">
        <v>97</v>
      </c>
      <c r="B129" s="135" t="s">
        <v>1895</v>
      </c>
      <c r="C129" s="135" t="s">
        <v>1126</v>
      </c>
      <c r="D129" s="135" t="s">
        <v>147</v>
      </c>
    </row>
    <row r="130" spans="1:4">
      <c r="A130" s="135" t="s">
        <v>333</v>
      </c>
      <c r="B130" s="135" t="s">
        <v>1895</v>
      </c>
      <c r="C130" s="135" t="s">
        <v>1126</v>
      </c>
      <c r="D130" s="135" t="s">
        <v>292</v>
      </c>
    </row>
    <row r="131" spans="1:4">
      <c r="A131" s="135" t="s">
        <v>334</v>
      </c>
      <c r="B131" s="135" t="s">
        <v>1895</v>
      </c>
      <c r="C131" s="135" t="s">
        <v>335</v>
      </c>
      <c r="D131" s="135" t="s">
        <v>165</v>
      </c>
    </row>
    <row r="132" spans="1:4">
      <c r="A132" s="135" t="s">
        <v>336</v>
      </c>
      <c r="B132" s="135" t="s">
        <v>1895</v>
      </c>
      <c r="C132" s="135" t="s">
        <v>335</v>
      </c>
      <c r="D132" s="135" t="s">
        <v>165</v>
      </c>
    </row>
    <row r="133" spans="1:4">
      <c r="A133" s="135" t="s">
        <v>337</v>
      </c>
      <c r="B133" s="135" t="s">
        <v>1895</v>
      </c>
      <c r="C133" s="135" t="s">
        <v>1126</v>
      </c>
      <c r="D133" s="135" t="s">
        <v>292</v>
      </c>
    </row>
    <row r="134" spans="1:4">
      <c r="A134" s="135" t="s">
        <v>62</v>
      </c>
      <c r="B134" s="135" t="s">
        <v>1895</v>
      </c>
      <c r="C134" s="135" t="s">
        <v>335</v>
      </c>
      <c r="D134" s="135" t="s">
        <v>165</v>
      </c>
    </row>
    <row r="135" spans="1:4">
      <c r="A135" s="135" t="s">
        <v>338</v>
      </c>
      <c r="B135" s="135" t="s">
        <v>1895</v>
      </c>
      <c r="C135" s="135" t="s">
        <v>1126</v>
      </c>
      <c r="D135" s="135" t="s">
        <v>292</v>
      </c>
    </row>
    <row r="136" spans="1:4">
      <c r="A136" s="135" t="s">
        <v>70</v>
      </c>
      <c r="B136" s="135" t="s">
        <v>1895</v>
      </c>
      <c r="C136" s="135" t="s">
        <v>335</v>
      </c>
      <c r="D136" s="135" t="s">
        <v>165</v>
      </c>
    </row>
    <row r="137" spans="1:4">
      <c r="A137" s="135" t="s">
        <v>23</v>
      </c>
      <c r="B137" s="135" t="s">
        <v>1895</v>
      </c>
      <c r="C137" s="135" t="s">
        <v>335</v>
      </c>
      <c r="D137" s="135" t="s">
        <v>165</v>
      </c>
    </row>
    <row r="138" spans="1:4">
      <c r="A138" s="135" t="s">
        <v>32</v>
      </c>
      <c r="B138" s="135" t="s">
        <v>1895</v>
      </c>
      <c r="C138" s="135" t="s">
        <v>1126</v>
      </c>
      <c r="D138" s="135" t="s">
        <v>292</v>
      </c>
    </row>
    <row r="139" spans="1:4">
      <c r="A139" s="135" t="s">
        <v>339</v>
      </c>
      <c r="B139" s="135" t="s">
        <v>1895</v>
      </c>
      <c r="C139" s="135" t="s">
        <v>1126</v>
      </c>
      <c r="D139" s="135" t="s">
        <v>292</v>
      </c>
    </row>
    <row r="140" spans="1:4">
      <c r="A140" s="135" t="s">
        <v>340</v>
      </c>
      <c r="B140" s="135" t="s">
        <v>1895</v>
      </c>
      <c r="C140" s="135" t="s">
        <v>1126</v>
      </c>
      <c r="D140" s="135" t="s">
        <v>125</v>
      </c>
    </row>
    <row r="141" spans="1:4">
      <c r="A141" s="135" t="s">
        <v>87</v>
      </c>
      <c r="B141" s="135" t="s">
        <v>1895</v>
      </c>
      <c r="C141" s="135" t="s">
        <v>1126</v>
      </c>
      <c r="D141" s="135" t="s">
        <v>151</v>
      </c>
    </row>
    <row r="142" spans="1:4">
      <c r="A142" s="135" t="s">
        <v>341</v>
      </c>
      <c r="B142" s="135" t="s">
        <v>1895</v>
      </c>
      <c r="C142" s="135" t="s">
        <v>335</v>
      </c>
      <c r="D142" s="135" t="s">
        <v>165</v>
      </c>
    </row>
    <row r="143" spans="1:4">
      <c r="A143" s="135" t="s">
        <v>78</v>
      </c>
      <c r="B143" s="135" t="s">
        <v>1895</v>
      </c>
      <c r="C143" s="135" t="s">
        <v>335</v>
      </c>
      <c r="D143" s="135" t="s">
        <v>165</v>
      </c>
    </row>
    <row r="144" spans="1:4">
      <c r="A144" s="135" t="s">
        <v>342</v>
      </c>
      <c r="B144" s="135" t="s">
        <v>1895</v>
      </c>
      <c r="C144" s="135" t="s">
        <v>1126</v>
      </c>
      <c r="D144" s="135" t="s">
        <v>125</v>
      </c>
    </row>
    <row r="145" spans="1:4">
      <c r="A145" s="135" t="s">
        <v>343</v>
      </c>
      <c r="B145" s="135" t="s">
        <v>1895</v>
      </c>
      <c r="C145" s="135" t="s">
        <v>1126</v>
      </c>
      <c r="D145" s="135" t="s">
        <v>292</v>
      </c>
    </row>
    <row r="146" spans="1:4">
      <c r="A146" s="135" t="s">
        <v>41</v>
      </c>
      <c r="B146" s="135" t="s">
        <v>1895</v>
      </c>
      <c r="C146" s="135" t="s">
        <v>1126</v>
      </c>
      <c r="D146" s="135" t="s">
        <v>310</v>
      </c>
    </row>
    <row r="147" spans="1:4">
      <c r="A147" s="135" t="s">
        <v>81</v>
      </c>
      <c r="B147" s="135" t="s">
        <v>1895</v>
      </c>
      <c r="C147" s="135" t="s">
        <v>1126</v>
      </c>
      <c r="D147" s="135" t="s">
        <v>292</v>
      </c>
    </row>
    <row r="148" spans="1:4">
      <c r="A148" s="135" t="s">
        <v>92</v>
      </c>
      <c r="B148" s="135" t="s">
        <v>1895</v>
      </c>
      <c r="C148" s="135" t="s">
        <v>1126</v>
      </c>
      <c r="D148" s="135" t="s">
        <v>141</v>
      </c>
    </row>
    <row r="149" spans="1:4">
      <c r="A149" s="135" t="s">
        <v>344</v>
      </c>
      <c r="B149" s="135" t="s">
        <v>1895</v>
      </c>
      <c r="C149" s="135" t="s">
        <v>1126</v>
      </c>
      <c r="D149" s="135" t="s">
        <v>141</v>
      </c>
    </row>
    <row r="150" spans="1:4">
      <c r="A150" s="135" t="s">
        <v>345</v>
      </c>
      <c r="B150" s="135" t="s">
        <v>1895</v>
      </c>
      <c r="C150" s="135" t="s">
        <v>335</v>
      </c>
      <c r="D150" s="135" t="s">
        <v>165</v>
      </c>
    </row>
    <row r="151" spans="1:4">
      <c r="A151" s="135" t="s">
        <v>95</v>
      </c>
      <c r="B151" s="135" t="s">
        <v>1895</v>
      </c>
      <c r="C151" s="135" t="s">
        <v>335</v>
      </c>
      <c r="D151" s="135" t="s">
        <v>165</v>
      </c>
    </row>
    <row r="152" spans="1:4">
      <c r="A152" s="135" t="s">
        <v>346</v>
      </c>
      <c r="B152" s="135" t="s">
        <v>1895</v>
      </c>
      <c r="C152" s="135" t="s">
        <v>1126</v>
      </c>
      <c r="D152" s="135" t="s">
        <v>332</v>
      </c>
    </row>
    <row r="153" spans="1:4">
      <c r="A153" s="135" t="s">
        <v>347</v>
      </c>
      <c r="B153" s="135" t="s">
        <v>1895</v>
      </c>
      <c r="C153" s="135" t="s">
        <v>1126</v>
      </c>
      <c r="D153" s="135" t="s">
        <v>294</v>
      </c>
    </row>
    <row r="154" spans="1:4">
      <c r="A154" s="135" t="s">
        <v>348</v>
      </c>
      <c r="B154" s="135" t="s">
        <v>1895</v>
      </c>
      <c r="C154" s="135" t="s">
        <v>1126</v>
      </c>
      <c r="D154" s="135" t="s">
        <v>232</v>
      </c>
    </row>
    <row r="155" spans="1:4">
      <c r="A155" s="135" t="s">
        <v>349</v>
      </c>
      <c r="B155" s="135" t="s">
        <v>1895</v>
      </c>
      <c r="C155" s="135" t="s">
        <v>335</v>
      </c>
      <c r="D155" s="135" t="s">
        <v>165</v>
      </c>
    </row>
    <row r="156" spans="1:4">
      <c r="A156" s="135" t="s">
        <v>350</v>
      </c>
      <c r="B156" s="135" t="s">
        <v>1895</v>
      </c>
      <c r="C156" s="135" t="s">
        <v>335</v>
      </c>
      <c r="D156" s="135" t="s">
        <v>165</v>
      </c>
    </row>
    <row r="157" spans="1:4">
      <c r="A157" s="135" t="s">
        <v>106</v>
      </c>
      <c r="B157" s="135" t="s">
        <v>1895</v>
      </c>
      <c r="C157" s="135" t="s">
        <v>335</v>
      </c>
      <c r="D157" s="135" t="s">
        <v>165</v>
      </c>
    </row>
    <row r="158" spans="1:4">
      <c r="A158" s="135" t="s">
        <v>83</v>
      </c>
      <c r="B158" s="135" t="s">
        <v>1895</v>
      </c>
      <c r="C158" s="135" t="s">
        <v>335</v>
      </c>
      <c r="D158" s="135" t="s">
        <v>165</v>
      </c>
    </row>
    <row r="159" spans="1:4">
      <c r="A159" s="135" t="s">
        <v>351</v>
      </c>
      <c r="B159" s="135" t="s">
        <v>1895</v>
      </c>
      <c r="C159" s="135" t="s">
        <v>278</v>
      </c>
      <c r="D159" s="135" t="s">
        <v>279</v>
      </c>
    </row>
    <row r="160" spans="1:4">
      <c r="A160" s="135" t="s">
        <v>352</v>
      </c>
      <c r="B160" s="135" t="s">
        <v>1895</v>
      </c>
      <c r="C160" s="135" t="s">
        <v>335</v>
      </c>
      <c r="D160" s="135" t="s">
        <v>165</v>
      </c>
    </row>
    <row r="161" spans="1:4">
      <c r="A161" s="135" t="s">
        <v>77</v>
      </c>
      <c r="B161" s="135" t="s">
        <v>1895</v>
      </c>
      <c r="C161" s="135" t="s">
        <v>335</v>
      </c>
      <c r="D161" s="135" t="s">
        <v>165</v>
      </c>
    </row>
    <row r="162" spans="1:4">
      <c r="A162" s="135" t="s">
        <v>66</v>
      </c>
      <c r="B162" s="135" t="s">
        <v>1895</v>
      </c>
      <c r="C162" s="135" t="s">
        <v>278</v>
      </c>
      <c r="D162" s="135" t="s">
        <v>279</v>
      </c>
    </row>
    <row r="163" spans="1:4">
      <c r="A163" s="135" t="s">
        <v>353</v>
      </c>
      <c r="B163" s="135" t="s">
        <v>1895</v>
      </c>
      <c r="C163" s="135" t="s">
        <v>1126</v>
      </c>
      <c r="D163" s="135" t="s">
        <v>141</v>
      </c>
    </row>
    <row r="164" spans="1:4">
      <c r="A164" s="135" t="s">
        <v>354</v>
      </c>
      <c r="B164" s="135" t="s">
        <v>1895</v>
      </c>
      <c r="C164" s="135" t="s">
        <v>1126</v>
      </c>
      <c r="D164" s="135" t="s">
        <v>292</v>
      </c>
    </row>
    <row r="165" spans="1:4">
      <c r="A165" s="135" t="s">
        <v>355</v>
      </c>
      <c r="B165" s="135" t="s">
        <v>1895</v>
      </c>
      <c r="C165" s="135" t="s">
        <v>1126</v>
      </c>
      <c r="D165" s="135" t="s">
        <v>292</v>
      </c>
    </row>
    <row r="166" spans="1:4">
      <c r="A166" s="135" t="s">
        <v>356</v>
      </c>
      <c r="B166" s="135" t="s">
        <v>1895</v>
      </c>
      <c r="C166" s="135" t="s">
        <v>1126</v>
      </c>
      <c r="D166" s="135" t="s">
        <v>151</v>
      </c>
    </row>
    <row r="167" spans="1:4">
      <c r="A167" s="135" t="s">
        <v>44</v>
      </c>
      <c r="B167" s="135" t="s">
        <v>1895</v>
      </c>
      <c r="C167" s="135" t="s">
        <v>278</v>
      </c>
      <c r="D167" s="135" t="s">
        <v>147</v>
      </c>
    </row>
    <row r="168" spans="1:4">
      <c r="A168" s="135" t="s">
        <v>357</v>
      </c>
      <c r="B168" s="135" t="s">
        <v>1895</v>
      </c>
      <c r="C168" s="135" t="s">
        <v>1126</v>
      </c>
      <c r="D168" s="135" t="s">
        <v>332</v>
      </c>
    </row>
    <row r="169" spans="1:4">
      <c r="A169" s="135" t="s">
        <v>358</v>
      </c>
      <c r="B169" s="135" t="s">
        <v>1895</v>
      </c>
      <c r="C169" s="135" t="s">
        <v>359</v>
      </c>
      <c r="D169" s="135" t="s">
        <v>165</v>
      </c>
    </row>
    <row r="170" spans="1:4">
      <c r="A170" s="135" t="s">
        <v>360</v>
      </c>
      <c r="B170" s="135" t="s">
        <v>1895</v>
      </c>
      <c r="C170" s="135" t="s">
        <v>359</v>
      </c>
      <c r="D170" s="135" t="s">
        <v>165</v>
      </c>
    </row>
    <row r="171" spans="1:4">
      <c r="A171" s="135" t="s">
        <v>361</v>
      </c>
      <c r="B171" s="135" t="s">
        <v>1895</v>
      </c>
      <c r="C171" s="135" t="s">
        <v>359</v>
      </c>
      <c r="D171" s="135" t="s">
        <v>165</v>
      </c>
    </row>
    <row r="172" spans="1:4">
      <c r="A172" s="135" t="s">
        <v>362</v>
      </c>
      <c r="B172" s="135" t="s">
        <v>1895</v>
      </c>
      <c r="C172" s="135" t="s">
        <v>278</v>
      </c>
      <c r="D172" s="135" t="s">
        <v>279</v>
      </c>
    </row>
    <row r="173" spans="1:4">
      <c r="A173" s="135" t="s">
        <v>363</v>
      </c>
      <c r="B173" s="135" t="s">
        <v>1895</v>
      </c>
      <c r="C173" s="135" t="s">
        <v>278</v>
      </c>
      <c r="D173" s="135" t="s">
        <v>147</v>
      </c>
    </row>
    <row r="174" spans="1:4">
      <c r="A174" s="135" t="s">
        <v>364</v>
      </c>
      <c r="B174" s="135" t="s">
        <v>1895</v>
      </c>
      <c r="C174" s="135" t="s">
        <v>278</v>
      </c>
      <c r="D174" s="135" t="s">
        <v>292</v>
      </c>
    </row>
    <row r="175" spans="1:4">
      <c r="A175" s="135" t="s">
        <v>365</v>
      </c>
      <c r="B175" s="135" t="s">
        <v>1895</v>
      </c>
      <c r="C175" s="135" t="s">
        <v>1126</v>
      </c>
      <c r="D175" s="135" t="s">
        <v>165</v>
      </c>
    </row>
    <row r="176" spans="1:4">
      <c r="A176" s="135" t="s">
        <v>366</v>
      </c>
      <c r="B176" s="135" t="s">
        <v>1895</v>
      </c>
      <c r="C176" s="135" t="s">
        <v>278</v>
      </c>
      <c r="D176" s="135" t="s">
        <v>306</v>
      </c>
    </row>
    <row r="177" spans="1:4">
      <c r="A177" s="135" t="s">
        <v>69</v>
      </c>
      <c r="B177" s="135" t="s">
        <v>1895</v>
      </c>
      <c r="C177" s="135" t="s">
        <v>367</v>
      </c>
      <c r="D177" s="135" t="s">
        <v>279</v>
      </c>
    </row>
    <row r="178" spans="1:4">
      <c r="A178" s="135" t="s">
        <v>25</v>
      </c>
      <c r="B178" s="135" t="s">
        <v>1895</v>
      </c>
      <c r="C178" s="135" t="s">
        <v>367</v>
      </c>
      <c r="D178" s="135" t="s">
        <v>279</v>
      </c>
    </row>
    <row r="179" spans="1:4">
      <c r="A179" s="135" t="s">
        <v>368</v>
      </c>
      <c r="B179" s="135" t="s">
        <v>1895</v>
      </c>
      <c r="C179" s="135" t="s">
        <v>367</v>
      </c>
      <c r="D179" s="135" t="s">
        <v>279</v>
      </c>
    </row>
    <row r="180" spans="1:4">
      <c r="A180" s="135" t="s">
        <v>369</v>
      </c>
      <c r="B180" s="135" t="s">
        <v>1895</v>
      </c>
      <c r="C180" s="135" t="s">
        <v>278</v>
      </c>
      <c r="D180" s="135" t="s">
        <v>279</v>
      </c>
    </row>
    <row r="181" spans="1:4">
      <c r="A181" s="135" t="s">
        <v>370</v>
      </c>
      <c r="B181" s="135" t="s">
        <v>1895</v>
      </c>
      <c r="C181" s="135" t="s">
        <v>367</v>
      </c>
      <c r="D181" s="135" t="s">
        <v>279</v>
      </c>
    </row>
    <row r="182" spans="1:4">
      <c r="A182" s="135" t="s">
        <v>371</v>
      </c>
      <c r="B182" s="135" t="s">
        <v>1895</v>
      </c>
      <c r="C182" s="135" t="s">
        <v>367</v>
      </c>
      <c r="D182" s="135" t="s">
        <v>279</v>
      </c>
    </row>
    <row r="183" spans="1:4">
      <c r="A183" s="135" t="s">
        <v>372</v>
      </c>
      <c r="B183" s="135" t="s">
        <v>1895</v>
      </c>
      <c r="C183" s="135" t="s">
        <v>278</v>
      </c>
      <c r="D183" s="135" t="s">
        <v>310</v>
      </c>
    </row>
    <row r="184" spans="1:4">
      <c r="A184" s="135" t="s">
        <v>373</v>
      </c>
      <c r="B184" s="135" t="s">
        <v>1895</v>
      </c>
      <c r="C184" s="135" t="s">
        <v>367</v>
      </c>
      <c r="D184" s="135" t="s">
        <v>294</v>
      </c>
    </row>
    <row r="185" spans="1:4">
      <c r="A185" s="135" t="s">
        <v>374</v>
      </c>
      <c r="B185" s="135" t="s">
        <v>1895</v>
      </c>
      <c r="C185" s="135" t="s">
        <v>367</v>
      </c>
      <c r="D185" s="135" t="s">
        <v>294</v>
      </c>
    </row>
    <row r="186" spans="1:4">
      <c r="A186" s="135" t="s">
        <v>375</v>
      </c>
      <c r="B186" s="135" t="s">
        <v>1895</v>
      </c>
      <c r="C186" s="135" t="s">
        <v>367</v>
      </c>
      <c r="D186" s="135" t="s">
        <v>294</v>
      </c>
    </row>
    <row r="187" spans="1:4">
      <c r="A187" s="135" t="s">
        <v>376</v>
      </c>
      <c r="B187" s="135" t="s">
        <v>1895</v>
      </c>
      <c r="C187" s="135" t="s">
        <v>367</v>
      </c>
      <c r="D187" s="135" t="s">
        <v>294</v>
      </c>
    </row>
    <row r="188" spans="1:4">
      <c r="A188" s="135" t="s">
        <v>377</v>
      </c>
      <c r="B188" s="135" t="s">
        <v>1895</v>
      </c>
      <c r="C188" s="135" t="s">
        <v>367</v>
      </c>
      <c r="D188" s="135" t="s">
        <v>141</v>
      </c>
    </row>
    <row r="189" spans="1:4">
      <c r="A189" s="135" t="s">
        <v>378</v>
      </c>
      <c r="B189" s="135" t="s">
        <v>1895</v>
      </c>
      <c r="C189" s="135" t="s">
        <v>367</v>
      </c>
      <c r="D189" s="135" t="s">
        <v>141</v>
      </c>
    </row>
    <row r="190" spans="1:4">
      <c r="A190" s="135" t="s">
        <v>379</v>
      </c>
      <c r="B190" s="135" t="s">
        <v>1895</v>
      </c>
      <c r="C190" s="135" t="s">
        <v>380</v>
      </c>
      <c r="D190" s="135" t="s">
        <v>46</v>
      </c>
    </row>
    <row r="191" spans="1:4">
      <c r="A191" s="135" t="s">
        <v>381</v>
      </c>
      <c r="B191" s="135" t="s">
        <v>1895</v>
      </c>
      <c r="C191" s="135" t="s">
        <v>380</v>
      </c>
      <c r="D191" s="135" t="s">
        <v>46</v>
      </c>
    </row>
    <row r="192" spans="1:4">
      <c r="A192" s="135" t="s">
        <v>382</v>
      </c>
      <c r="B192" s="135" t="s">
        <v>1895</v>
      </c>
      <c r="C192" s="135" t="s">
        <v>367</v>
      </c>
      <c r="D192" s="135" t="s">
        <v>141</v>
      </c>
    </row>
    <row r="193" spans="1:4">
      <c r="A193" s="135" t="s">
        <v>383</v>
      </c>
      <c r="B193" s="135" t="s">
        <v>1895</v>
      </c>
      <c r="C193" s="135" t="s">
        <v>380</v>
      </c>
      <c r="D193" s="135" t="s">
        <v>46</v>
      </c>
    </row>
    <row r="194" spans="1:4">
      <c r="A194" s="135" t="s">
        <v>384</v>
      </c>
      <c r="B194" s="135" t="s">
        <v>1895</v>
      </c>
      <c r="C194" s="135" t="s">
        <v>380</v>
      </c>
      <c r="D194" s="135" t="s">
        <v>46</v>
      </c>
    </row>
    <row r="195" spans="1:4">
      <c r="A195" s="135" t="s">
        <v>385</v>
      </c>
      <c r="B195" s="135" t="s">
        <v>1895</v>
      </c>
      <c r="C195" s="135" t="s">
        <v>278</v>
      </c>
      <c r="D195" s="135" t="s">
        <v>310</v>
      </c>
    </row>
    <row r="196" spans="1:4">
      <c r="A196" s="135" t="s">
        <v>386</v>
      </c>
      <c r="B196" s="135" t="s">
        <v>1895</v>
      </c>
      <c r="C196" s="135" t="s">
        <v>380</v>
      </c>
      <c r="D196" s="135" t="s">
        <v>46</v>
      </c>
    </row>
    <row r="197" spans="1:4">
      <c r="A197" s="135" t="s">
        <v>387</v>
      </c>
      <c r="B197" s="135" t="s">
        <v>1895</v>
      </c>
      <c r="C197" s="135" t="s">
        <v>278</v>
      </c>
      <c r="D197" s="135" t="s">
        <v>310</v>
      </c>
    </row>
    <row r="198" spans="1:4">
      <c r="A198" s="135" t="s">
        <v>388</v>
      </c>
      <c r="B198" s="135" t="s">
        <v>1895</v>
      </c>
      <c r="C198" s="135" t="s">
        <v>278</v>
      </c>
      <c r="D198" s="135" t="s">
        <v>310</v>
      </c>
    </row>
    <row r="199" spans="1:4">
      <c r="A199" s="135" t="s">
        <v>389</v>
      </c>
      <c r="B199" s="135" t="s">
        <v>1895</v>
      </c>
      <c r="C199" s="135" t="s">
        <v>278</v>
      </c>
      <c r="D199" s="135" t="s">
        <v>332</v>
      </c>
    </row>
    <row r="200" spans="1:4">
      <c r="A200" s="135" t="s">
        <v>390</v>
      </c>
      <c r="B200" s="135" t="s">
        <v>1895</v>
      </c>
      <c r="C200" s="135" t="s">
        <v>278</v>
      </c>
      <c r="D200" s="135" t="s">
        <v>306</v>
      </c>
    </row>
    <row r="201" spans="1:4">
      <c r="A201" s="135" t="s">
        <v>17</v>
      </c>
      <c r="B201" s="135" t="s">
        <v>1895</v>
      </c>
      <c r="C201" s="135" t="s">
        <v>380</v>
      </c>
      <c r="D201" s="135" t="s">
        <v>46</v>
      </c>
    </row>
    <row r="202" spans="1:4">
      <c r="A202" s="135" t="s">
        <v>391</v>
      </c>
      <c r="B202" s="135" t="s">
        <v>1895</v>
      </c>
      <c r="C202" s="135" t="s">
        <v>380</v>
      </c>
      <c r="D202" s="135" t="s">
        <v>46</v>
      </c>
    </row>
    <row r="203" spans="1:4">
      <c r="A203" s="135" t="s">
        <v>392</v>
      </c>
      <c r="B203" s="135" t="s">
        <v>1895</v>
      </c>
      <c r="C203" s="135" t="s">
        <v>380</v>
      </c>
      <c r="D203" s="135" t="s">
        <v>46</v>
      </c>
    </row>
    <row r="204" spans="1:4">
      <c r="A204" s="135" t="s">
        <v>393</v>
      </c>
      <c r="B204" s="135" t="s">
        <v>1895</v>
      </c>
      <c r="C204" s="135" t="s">
        <v>278</v>
      </c>
      <c r="D204" s="135" t="s">
        <v>141</v>
      </c>
    </row>
    <row r="205" spans="1:4">
      <c r="A205" s="135" t="s">
        <v>394</v>
      </c>
      <c r="B205" s="135" t="s">
        <v>1895</v>
      </c>
      <c r="C205" s="135" t="s">
        <v>278</v>
      </c>
      <c r="D205" s="135" t="s">
        <v>141</v>
      </c>
    </row>
    <row r="206" spans="1:4">
      <c r="A206" s="135" t="s">
        <v>395</v>
      </c>
      <c r="B206" s="135" t="s">
        <v>1895</v>
      </c>
      <c r="C206" s="135" t="s">
        <v>1126</v>
      </c>
      <c r="D206" s="135" t="s">
        <v>165</v>
      </c>
    </row>
    <row r="207" spans="1:4">
      <c r="A207" s="135" t="s">
        <v>396</v>
      </c>
      <c r="B207" s="135" t="s">
        <v>1895</v>
      </c>
      <c r="C207" s="135" t="s">
        <v>1126</v>
      </c>
      <c r="D207" s="135" t="s">
        <v>165</v>
      </c>
    </row>
    <row r="208" spans="1:4">
      <c r="A208" s="135" t="s">
        <v>397</v>
      </c>
      <c r="B208" s="135" t="s">
        <v>1895</v>
      </c>
      <c r="C208" s="135" t="s">
        <v>278</v>
      </c>
      <c r="D208" s="135" t="s">
        <v>279</v>
      </c>
    </row>
    <row r="209" spans="1:4">
      <c r="A209" s="135" t="s">
        <v>398</v>
      </c>
      <c r="B209" s="135" t="s">
        <v>1895</v>
      </c>
      <c r="C209" s="135" t="s">
        <v>367</v>
      </c>
      <c r="D209" s="135" t="s">
        <v>279</v>
      </c>
    </row>
    <row r="210" spans="1:4">
      <c r="A210" s="135" t="s">
        <v>399</v>
      </c>
      <c r="B210" s="135" t="s">
        <v>1895</v>
      </c>
      <c r="C210" s="135" t="s">
        <v>367</v>
      </c>
      <c r="D210" s="135" t="s">
        <v>279</v>
      </c>
    </row>
    <row r="211" spans="1:4">
      <c r="A211" s="135" t="s">
        <v>400</v>
      </c>
      <c r="B211" s="135" t="s">
        <v>1895</v>
      </c>
      <c r="C211" s="135" t="s">
        <v>401</v>
      </c>
      <c r="D211" s="135" t="s">
        <v>279</v>
      </c>
    </row>
    <row r="212" spans="1:4">
      <c r="A212" s="135" t="s">
        <v>34</v>
      </c>
      <c r="B212" s="135" t="s">
        <v>1895</v>
      </c>
      <c r="C212" s="135" t="s">
        <v>401</v>
      </c>
      <c r="D212" s="135" t="s">
        <v>279</v>
      </c>
    </row>
    <row r="213" spans="1:4">
      <c r="A213" s="135" t="s">
        <v>402</v>
      </c>
      <c r="B213" s="135" t="s">
        <v>1895</v>
      </c>
      <c r="C213" s="135" t="s">
        <v>278</v>
      </c>
      <c r="D213" s="135" t="s">
        <v>306</v>
      </c>
    </row>
    <row r="214" spans="1:4">
      <c r="A214" s="135" t="s">
        <v>403</v>
      </c>
      <c r="B214" s="135" t="s">
        <v>1895</v>
      </c>
      <c r="C214" s="135" t="s">
        <v>278</v>
      </c>
      <c r="D214" s="135" t="s">
        <v>46</v>
      </c>
    </row>
    <row r="215" spans="1:4">
      <c r="A215" s="135" t="s">
        <v>60</v>
      </c>
      <c r="B215" s="135" t="s">
        <v>1895</v>
      </c>
      <c r="C215" s="135" t="s">
        <v>401</v>
      </c>
      <c r="D215" s="135" t="s">
        <v>279</v>
      </c>
    </row>
    <row r="216" spans="1:4">
      <c r="A216" s="135" t="s">
        <v>404</v>
      </c>
      <c r="B216" s="135" t="s">
        <v>1895</v>
      </c>
      <c r="C216" s="135" t="s">
        <v>401</v>
      </c>
      <c r="D216" s="135" t="s">
        <v>279</v>
      </c>
    </row>
    <row r="217" spans="1:4">
      <c r="A217" s="135" t="s">
        <v>54</v>
      </c>
      <c r="B217" s="135" t="s">
        <v>1895</v>
      </c>
      <c r="C217" s="135" t="s">
        <v>401</v>
      </c>
      <c r="D217" s="135" t="s">
        <v>279</v>
      </c>
    </row>
    <row r="218" spans="1:4">
      <c r="A218" s="135" t="s">
        <v>40</v>
      </c>
      <c r="B218" s="135" t="s">
        <v>1895</v>
      </c>
      <c r="C218" s="135" t="s">
        <v>1126</v>
      </c>
      <c r="D218" s="135" t="s">
        <v>310</v>
      </c>
    </row>
    <row r="219" spans="1:4">
      <c r="A219" s="135" t="s">
        <v>84</v>
      </c>
      <c r="B219" s="135" t="s">
        <v>1895</v>
      </c>
      <c r="C219" s="135" t="s">
        <v>335</v>
      </c>
      <c r="D219" s="135" t="s">
        <v>306</v>
      </c>
    </row>
    <row r="220" spans="1:4">
      <c r="A220" s="135" t="s">
        <v>405</v>
      </c>
      <c r="B220" s="135" t="s">
        <v>1895</v>
      </c>
      <c r="C220" s="135" t="s">
        <v>335</v>
      </c>
      <c r="D220" s="135" t="s">
        <v>306</v>
      </c>
    </row>
    <row r="221" spans="1:4">
      <c r="A221" s="135" t="s">
        <v>406</v>
      </c>
      <c r="B221" s="135" t="s">
        <v>1895</v>
      </c>
      <c r="C221" s="135" t="s">
        <v>278</v>
      </c>
      <c r="D221" s="135" t="s">
        <v>147</v>
      </c>
    </row>
    <row r="222" spans="1:4">
      <c r="A222" s="135" t="s">
        <v>407</v>
      </c>
      <c r="B222" s="135" t="s">
        <v>1895</v>
      </c>
      <c r="C222" s="135" t="s">
        <v>335</v>
      </c>
      <c r="D222" s="135" t="s">
        <v>332</v>
      </c>
    </row>
    <row r="223" spans="1:4">
      <c r="A223" s="135" t="s">
        <v>408</v>
      </c>
      <c r="B223" s="135" t="s">
        <v>1895</v>
      </c>
      <c r="C223" s="135" t="s">
        <v>367</v>
      </c>
      <c r="D223" s="135" t="s">
        <v>294</v>
      </c>
    </row>
    <row r="224" spans="1:4">
      <c r="A224" s="135" t="s">
        <v>409</v>
      </c>
      <c r="B224" s="135" t="s">
        <v>1895</v>
      </c>
      <c r="C224" s="135" t="s">
        <v>367</v>
      </c>
      <c r="D224" s="135" t="s">
        <v>294</v>
      </c>
    </row>
    <row r="225" spans="1:4">
      <c r="A225" s="135" t="s">
        <v>410</v>
      </c>
      <c r="B225" s="135" t="s">
        <v>1895</v>
      </c>
      <c r="C225" s="135" t="s">
        <v>367</v>
      </c>
      <c r="D225" s="135" t="s">
        <v>294</v>
      </c>
    </row>
    <row r="226" spans="1:4">
      <c r="A226" s="135" t="s">
        <v>411</v>
      </c>
      <c r="B226" s="135" t="s">
        <v>1895</v>
      </c>
      <c r="C226" s="135" t="s">
        <v>367</v>
      </c>
      <c r="D226" s="135" t="s">
        <v>141</v>
      </c>
    </row>
    <row r="227" spans="1:4">
      <c r="A227" s="135" t="s">
        <v>412</v>
      </c>
      <c r="B227" s="135" t="s">
        <v>1895</v>
      </c>
      <c r="C227" s="135" t="s">
        <v>367</v>
      </c>
      <c r="D227" s="135" t="s">
        <v>294</v>
      </c>
    </row>
    <row r="228" spans="1:4">
      <c r="A228" s="135" t="s">
        <v>413</v>
      </c>
      <c r="B228" s="135" t="s">
        <v>1895</v>
      </c>
      <c r="C228" s="135" t="s">
        <v>367</v>
      </c>
      <c r="D228" s="135" t="s">
        <v>294</v>
      </c>
    </row>
    <row r="229" spans="1:4">
      <c r="A229" s="135" t="s">
        <v>414</v>
      </c>
      <c r="B229" s="135" t="s">
        <v>1895</v>
      </c>
      <c r="C229" s="135" t="s">
        <v>367</v>
      </c>
      <c r="D229" s="135" t="s">
        <v>294</v>
      </c>
    </row>
    <row r="230" spans="1:4">
      <c r="A230" s="135" t="s">
        <v>415</v>
      </c>
      <c r="B230" s="135" t="s">
        <v>1895</v>
      </c>
      <c r="C230" s="135" t="s">
        <v>401</v>
      </c>
      <c r="D230" s="135" t="s">
        <v>279</v>
      </c>
    </row>
    <row r="231" spans="1:4">
      <c r="A231" s="135" t="s">
        <v>416</v>
      </c>
      <c r="B231" s="135" t="s">
        <v>1895</v>
      </c>
      <c r="C231" s="135" t="s">
        <v>401</v>
      </c>
      <c r="D231" s="135" t="s">
        <v>279</v>
      </c>
    </row>
    <row r="232" spans="1:4">
      <c r="A232" s="135" t="s">
        <v>417</v>
      </c>
      <c r="B232" s="135" t="s">
        <v>1895</v>
      </c>
      <c r="C232" s="135" t="s">
        <v>335</v>
      </c>
      <c r="D232" s="135" t="s">
        <v>306</v>
      </c>
    </row>
    <row r="233" spans="1:4">
      <c r="A233" s="135" t="s">
        <v>418</v>
      </c>
      <c r="B233" s="135" t="s">
        <v>1895</v>
      </c>
      <c r="C233" s="135" t="s">
        <v>335</v>
      </c>
      <c r="D233" s="135" t="s">
        <v>306</v>
      </c>
    </row>
    <row r="234" spans="1:4">
      <c r="A234" s="135" t="s">
        <v>419</v>
      </c>
      <c r="B234" s="135" t="s">
        <v>1895</v>
      </c>
      <c r="C234" s="135" t="s">
        <v>335</v>
      </c>
      <c r="D234" s="135" t="s">
        <v>151</v>
      </c>
    </row>
    <row r="235" spans="1:4">
      <c r="A235" s="135" t="s">
        <v>420</v>
      </c>
      <c r="B235" s="135" t="s">
        <v>1895</v>
      </c>
      <c r="C235" s="135" t="s">
        <v>335</v>
      </c>
      <c r="D235" s="135" t="s">
        <v>332</v>
      </c>
    </row>
    <row r="236" spans="1:4">
      <c r="A236" s="135" t="s">
        <v>421</v>
      </c>
      <c r="B236" s="135" t="s">
        <v>1895</v>
      </c>
      <c r="C236" s="135" t="s">
        <v>278</v>
      </c>
      <c r="D236" s="135" t="s">
        <v>154</v>
      </c>
    </row>
    <row r="237" spans="1:4">
      <c r="A237" s="135" t="s">
        <v>422</v>
      </c>
      <c r="B237" s="135" t="s">
        <v>1895</v>
      </c>
      <c r="C237" s="135" t="s">
        <v>335</v>
      </c>
      <c r="D237" s="135" t="s">
        <v>306</v>
      </c>
    </row>
    <row r="238" spans="1:4">
      <c r="A238" s="135" t="s">
        <v>423</v>
      </c>
      <c r="B238" s="135" t="s">
        <v>1895</v>
      </c>
      <c r="C238" s="135" t="s">
        <v>335</v>
      </c>
      <c r="D238" s="135" t="s">
        <v>306</v>
      </c>
    </row>
    <row r="239" spans="1:4">
      <c r="A239" s="135" t="s">
        <v>424</v>
      </c>
      <c r="B239" s="135" t="s">
        <v>1895</v>
      </c>
      <c r="C239" s="135" t="s">
        <v>335</v>
      </c>
      <c r="D239" s="135" t="s">
        <v>306</v>
      </c>
    </row>
    <row r="240" spans="1:4">
      <c r="A240" s="135" t="s">
        <v>425</v>
      </c>
      <c r="B240" s="135" t="s">
        <v>1895</v>
      </c>
      <c r="C240" s="135" t="s">
        <v>1126</v>
      </c>
      <c r="D240" s="135" t="s">
        <v>332</v>
      </c>
    </row>
    <row r="241" spans="1:4">
      <c r="A241" s="135" t="s">
        <v>426</v>
      </c>
      <c r="B241" s="135" t="s">
        <v>1895</v>
      </c>
      <c r="C241" s="135" t="s">
        <v>335</v>
      </c>
      <c r="D241" s="135" t="s">
        <v>332</v>
      </c>
    </row>
    <row r="242" spans="1:4">
      <c r="A242" s="135" t="s">
        <v>427</v>
      </c>
      <c r="B242" s="135" t="s">
        <v>1895</v>
      </c>
      <c r="C242" s="135" t="s">
        <v>335</v>
      </c>
      <c r="D242" s="135" t="s">
        <v>306</v>
      </c>
    </row>
    <row r="243" spans="1:4">
      <c r="A243" s="135" t="s">
        <v>428</v>
      </c>
      <c r="B243" s="135" t="s">
        <v>1895</v>
      </c>
      <c r="C243" s="135" t="s">
        <v>401</v>
      </c>
      <c r="D243" s="135" t="s">
        <v>279</v>
      </c>
    </row>
    <row r="244" spans="1:4">
      <c r="A244" s="135" t="s">
        <v>43</v>
      </c>
      <c r="B244" s="135" t="s">
        <v>1895</v>
      </c>
      <c r="C244" s="135" t="s">
        <v>335</v>
      </c>
      <c r="D244" s="135" t="s">
        <v>151</v>
      </c>
    </row>
    <row r="245" spans="1:4">
      <c r="A245" s="135" t="s">
        <v>429</v>
      </c>
      <c r="B245" s="135" t="s">
        <v>1895</v>
      </c>
      <c r="C245" s="135" t="s">
        <v>335</v>
      </c>
      <c r="D245" s="135" t="s">
        <v>151</v>
      </c>
    </row>
    <row r="246" spans="1:4">
      <c r="A246" s="135" t="s">
        <v>430</v>
      </c>
      <c r="B246" s="135" t="s">
        <v>1895</v>
      </c>
      <c r="C246" s="135" t="s">
        <v>278</v>
      </c>
      <c r="D246" s="135" t="s">
        <v>147</v>
      </c>
    </row>
    <row r="247" spans="1:4">
      <c r="A247" s="135" t="s">
        <v>431</v>
      </c>
      <c r="B247" s="135" t="s">
        <v>1895</v>
      </c>
      <c r="C247" s="135" t="s">
        <v>335</v>
      </c>
      <c r="D247" s="135" t="s">
        <v>306</v>
      </c>
    </row>
    <row r="248" spans="1:4">
      <c r="A248" s="135" t="s">
        <v>432</v>
      </c>
      <c r="B248" s="135" t="s">
        <v>1895</v>
      </c>
      <c r="C248" s="135" t="s">
        <v>401</v>
      </c>
      <c r="D248" s="135" t="s">
        <v>279</v>
      </c>
    </row>
    <row r="249" spans="1:4">
      <c r="A249" s="135" t="s">
        <v>433</v>
      </c>
      <c r="B249" s="135" t="s">
        <v>1895</v>
      </c>
      <c r="C249" s="135" t="s">
        <v>335</v>
      </c>
      <c r="D249" s="135" t="s">
        <v>306</v>
      </c>
    </row>
    <row r="250" spans="1:4">
      <c r="A250" s="135" t="s">
        <v>434</v>
      </c>
      <c r="B250" s="135" t="s">
        <v>1895</v>
      </c>
      <c r="C250" s="135" t="s">
        <v>335</v>
      </c>
      <c r="D250" s="135" t="s">
        <v>306</v>
      </c>
    </row>
    <row r="251" spans="1:4">
      <c r="A251" s="135" t="s">
        <v>435</v>
      </c>
      <c r="B251" s="135" t="s">
        <v>1895</v>
      </c>
      <c r="C251" s="135" t="s">
        <v>278</v>
      </c>
      <c r="D251" s="135" t="s">
        <v>147</v>
      </c>
    </row>
    <row r="252" spans="1:4">
      <c r="A252" s="135" t="s">
        <v>104</v>
      </c>
      <c r="B252" s="135" t="s">
        <v>1895</v>
      </c>
      <c r="C252" s="135" t="s">
        <v>278</v>
      </c>
      <c r="D252" s="135" t="s">
        <v>154</v>
      </c>
    </row>
    <row r="253" spans="1:4">
      <c r="A253" s="135" t="s">
        <v>436</v>
      </c>
      <c r="B253" s="135" t="s">
        <v>1895</v>
      </c>
      <c r="C253" s="135" t="s">
        <v>401</v>
      </c>
      <c r="D253" s="135" t="s">
        <v>125</v>
      </c>
    </row>
    <row r="254" spans="1:4">
      <c r="A254" s="135" t="s">
        <v>437</v>
      </c>
      <c r="B254" s="135" t="s">
        <v>1895</v>
      </c>
      <c r="C254" s="135" t="s">
        <v>401</v>
      </c>
      <c r="D254" s="135" t="s">
        <v>310</v>
      </c>
    </row>
    <row r="255" spans="1:4">
      <c r="A255" s="135" t="s">
        <v>48</v>
      </c>
      <c r="B255" s="135" t="s">
        <v>1895</v>
      </c>
      <c r="C255" s="135" t="s">
        <v>401</v>
      </c>
      <c r="D255" s="135" t="s">
        <v>125</v>
      </c>
    </row>
    <row r="256" spans="1:4">
      <c r="A256" s="135" t="s">
        <v>438</v>
      </c>
      <c r="B256" s="135" t="s">
        <v>1895</v>
      </c>
      <c r="C256" s="135" t="s">
        <v>335</v>
      </c>
      <c r="D256" s="135" t="s">
        <v>151</v>
      </c>
    </row>
    <row r="257" spans="1:4">
      <c r="A257" s="135" t="s">
        <v>439</v>
      </c>
      <c r="B257" s="135" t="s">
        <v>1895</v>
      </c>
      <c r="C257" s="135" t="s">
        <v>335</v>
      </c>
      <c r="D257" s="135" t="s">
        <v>151</v>
      </c>
    </row>
    <row r="258" spans="1:4">
      <c r="A258" s="135" t="s">
        <v>440</v>
      </c>
      <c r="B258" s="135" t="s">
        <v>1895</v>
      </c>
      <c r="C258" s="135" t="s">
        <v>335</v>
      </c>
      <c r="D258" s="135" t="s">
        <v>151</v>
      </c>
    </row>
    <row r="259" spans="1:4">
      <c r="A259" s="135" t="s">
        <v>441</v>
      </c>
      <c r="B259" s="135" t="s">
        <v>1895</v>
      </c>
      <c r="C259" s="135" t="s">
        <v>401</v>
      </c>
      <c r="D259" s="135" t="s">
        <v>125</v>
      </c>
    </row>
    <row r="260" spans="1:4">
      <c r="A260" s="135" t="s">
        <v>57</v>
      </c>
      <c r="B260" s="135" t="s">
        <v>1895</v>
      </c>
      <c r="C260" s="135" t="s">
        <v>401</v>
      </c>
      <c r="D260" s="135" t="s">
        <v>310</v>
      </c>
    </row>
    <row r="261" spans="1:4">
      <c r="A261" s="135" t="s">
        <v>442</v>
      </c>
      <c r="B261" s="135" t="s">
        <v>1895</v>
      </c>
      <c r="C261" s="135" t="s">
        <v>401</v>
      </c>
      <c r="D261" s="135" t="s">
        <v>310</v>
      </c>
    </row>
    <row r="262" spans="1:4">
      <c r="A262" s="135" t="s">
        <v>443</v>
      </c>
      <c r="B262" s="135" t="s">
        <v>1895</v>
      </c>
      <c r="C262" s="135" t="s">
        <v>278</v>
      </c>
      <c r="D262" s="135" t="s">
        <v>46</v>
      </c>
    </row>
    <row r="263" spans="1:4">
      <c r="A263" s="135" t="s">
        <v>444</v>
      </c>
      <c r="B263" s="135" t="s">
        <v>1895</v>
      </c>
      <c r="C263" s="135" t="s">
        <v>367</v>
      </c>
      <c r="D263" s="135" t="s">
        <v>279</v>
      </c>
    </row>
    <row r="264" spans="1:4">
      <c r="A264" s="135" t="s">
        <v>445</v>
      </c>
      <c r="B264" s="135" t="s">
        <v>1895</v>
      </c>
      <c r="C264" s="135" t="s">
        <v>367</v>
      </c>
      <c r="D264" s="135" t="s">
        <v>279</v>
      </c>
    </row>
    <row r="265" spans="1:4">
      <c r="A265" s="135" t="s">
        <v>446</v>
      </c>
      <c r="B265" s="135" t="s">
        <v>1895</v>
      </c>
      <c r="C265" s="135" t="s">
        <v>335</v>
      </c>
      <c r="D265" s="135" t="s">
        <v>151</v>
      </c>
    </row>
    <row r="266" spans="1:4">
      <c r="A266" s="135" t="s">
        <v>447</v>
      </c>
      <c r="B266" s="135" t="s">
        <v>1895</v>
      </c>
      <c r="C266" s="135" t="s">
        <v>335</v>
      </c>
      <c r="D266" s="135" t="s">
        <v>151</v>
      </c>
    </row>
    <row r="267" spans="1:4">
      <c r="A267" s="135" t="s">
        <v>448</v>
      </c>
      <c r="B267" s="135" t="s">
        <v>1895</v>
      </c>
      <c r="C267" s="135" t="s">
        <v>335</v>
      </c>
      <c r="D267" s="135" t="s">
        <v>306</v>
      </c>
    </row>
    <row r="268" spans="1:4">
      <c r="A268" s="135" t="s">
        <v>449</v>
      </c>
      <c r="B268" s="135" t="s">
        <v>1895</v>
      </c>
      <c r="C268" s="135" t="s">
        <v>278</v>
      </c>
      <c r="D268" s="135" t="s">
        <v>292</v>
      </c>
    </row>
    <row r="269" spans="1:4">
      <c r="A269" s="135" t="s">
        <v>450</v>
      </c>
      <c r="B269" s="135" t="s">
        <v>1895</v>
      </c>
      <c r="C269" s="135" t="s">
        <v>278</v>
      </c>
      <c r="D269" s="135" t="s">
        <v>141</v>
      </c>
    </row>
    <row r="270" spans="1:4">
      <c r="A270" s="135" t="s">
        <v>451</v>
      </c>
      <c r="B270" s="135" t="s">
        <v>1895</v>
      </c>
      <c r="C270" s="135" t="s">
        <v>278</v>
      </c>
      <c r="D270" s="135" t="s">
        <v>147</v>
      </c>
    </row>
    <row r="271" spans="1:4">
      <c r="A271" s="135" t="s">
        <v>452</v>
      </c>
      <c r="B271" s="135" t="s">
        <v>1895</v>
      </c>
      <c r="C271" s="135" t="s">
        <v>367</v>
      </c>
      <c r="D271" s="135" t="s">
        <v>141</v>
      </c>
    </row>
    <row r="272" spans="1:4">
      <c r="A272" s="135" t="s">
        <v>453</v>
      </c>
      <c r="B272" s="135" t="s">
        <v>1895</v>
      </c>
      <c r="C272" s="135" t="s">
        <v>367</v>
      </c>
      <c r="D272" s="135" t="s">
        <v>294</v>
      </c>
    </row>
    <row r="273" spans="1:4">
      <c r="A273" s="135" t="s">
        <v>42</v>
      </c>
      <c r="B273" s="135" t="s">
        <v>1895</v>
      </c>
      <c r="C273" s="135" t="s">
        <v>380</v>
      </c>
      <c r="D273" s="135" t="s">
        <v>46</v>
      </c>
    </row>
    <row r="274" spans="1:4">
      <c r="A274" s="135" t="s">
        <v>86</v>
      </c>
      <c r="B274" s="135" t="s">
        <v>1895</v>
      </c>
      <c r="C274" s="135" t="s">
        <v>380</v>
      </c>
      <c r="D274" s="135" t="s">
        <v>46</v>
      </c>
    </row>
    <row r="275" spans="1:4">
      <c r="A275" s="135" t="s">
        <v>454</v>
      </c>
      <c r="B275" s="135" t="s">
        <v>1895</v>
      </c>
      <c r="C275" s="135" t="s">
        <v>455</v>
      </c>
      <c r="D275" s="135" t="s">
        <v>279</v>
      </c>
    </row>
    <row r="276" spans="1:4">
      <c r="A276" s="135" t="s">
        <v>456</v>
      </c>
      <c r="B276" s="135" t="s">
        <v>1895</v>
      </c>
      <c r="C276" s="135" t="s">
        <v>457</v>
      </c>
      <c r="D276" s="135" t="s">
        <v>165</v>
      </c>
    </row>
    <row r="277" spans="1:4">
      <c r="A277" s="135" t="s">
        <v>458</v>
      </c>
      <c r="B277" s="135" t="s">
        <v>1895</v>
      </c>
      <c r="C277" s="135" t="s">
        <v>457</v>
      </c>
      <c r="D277" s="135" t="s">
        <v>165</v>
      </c>
    </row>
    <row r="278" spans="1:4">
      <c r="A278" s="135" t="s">
        <v>459</v>
      </c>
      <c r="B278" s="135" t="s">
        <v>1895</v>
      </c>
      <c r="C278" s="135" t="s">
        <v>457</v>
      </c>
      <c r="D278" s="135" t="s">
        <v>165</v>
      </c>
    </row>
    <row r="279" spans="1:4">
      <c r="A279" s="135" t="s">
        <v>51</v>
      </c>
      <c r="B279" s="135" t="s">
        <v>1895</v>
      </c>
      <c r="C279" s="135" t="s">
        <v>457</v>
      </c>
      <c r="D279" s="135" t="s">
        <v>165</v>
      </c>
    </row>
    <row r="280" spans="1:4">
      <c r="A280" s="135" t="s">
        <v>460</v>
      </c>
      <c r="B280" s="135" t="s">
        <v>1895</v>
      </c>
      <c r="C280" s="135" t="s">
        <v>278</v>
      </c>
      <c r="D280" s="135" t="s">
        <v>125</v>
      </c>
    </row>
    <row r="281" spans="1:4">
      <c r="A281" s="135" t="s">
        <v>461</v>
      </c>
      <c r="B281" s="135" t="s">
        <v>1895</v>
      </c>
      <c r="C281" s="135" t="s">
        <v>278</v>
      </c>
      <c r="D281" s="135" t="s">
        <v>141</v>
      </c>
    </row>
    <row r="282" spans="1:4">
      <c r="A282" s="135" t="s">
        <v>462</v>
      </c>
      <c r="B282" s="135" t="s">
        <v>1895</v>
      </c>
      <c r="C282" s="135" t="s">
        <v>278</v>
      </c>
      <c r="D282" s="135" t="s">
        <v>154</v>
      </c>
    </row>
    <row r="283" spans="1:4">
      <c r="A283" s="135" t="s">
        <v>463</v>
      </c>
      <c r="B283" s="135" t="s">
        <v>1895</v>
      </c>
      <c r="C283" s="135" t="s">
        <v>367</v>
      </c>
      <c r="D283" s="135" t="s">
        <v>279</v>
      </c>
    </row>
    <row r="284" spans="1:4">
      <c r="A284" s="135" t="s">
        <v>63</v>
      </c>
      <c r="B284" s="135" t="s">
        <v>1895</v>
      </c>
      <c r="C284" s="135" t="s">
        <v>367</v>
      </c>
      <c r="D284" s="135" t="s">
        <v>279</v>
      </c>
    </row>
    <row r="285" spans="1:4">
      <c r="A285" s="135" t="s">
        <v>464</v>
      </c>
      <c r="B285" s="135" t="s">
        <v>1895</v>
      </c>
      <c r="C285" s="135" t="s">
        <v>278</v>
      </c>
      <c r="D285" s="135" t="s">
        <v>279</v>
      </c>
    </row>
    <row r="286" spans="1:4">
      <c r="A286" s="135" t="s">
        <v>465</v>
      </c>
      <c r="B286" s="135" t="s">
        <v>1895</v>
      </c>
      <c r="C286" s="135" t="s">
        <v>335</v>
      </c>
      <c r="D286" s="135" t="s">
        <v>332</v>
      </c>
    </row>
    <row r="287" spans="1:4">
      <c r="A287" s="135" t="s">
        <v>466</v>
      </c>
      <c r="B287" s="135" t="s">
        <v>1895</v>
      </c>
      <c r="C287" s="135" t="s">
        <v>335</v>
      </c>
      <c r="D287" s="135" t="s">
        <v>332</v>
      </c>
    </row>
    <row r="288" spans="1:4">
      <c r="A288" s="135" t="s">
        <v>467</v>
      </c>
      <c r="B288" s="135" t="s">
        <v>1895</v>
      </c>
      <c r="C288" s="135" t="s">
        <v>335</v>
      </c>
      <c r="D288" s="135" t="s">
        <v>332</v>
      </c>
    </row>
    <row r="289" spans="1:4">
      <c r="A289" s="135" t="s">
        <v>468</v>
      </c>
      <c r="B289" s="135" t="s">
        <v>1895</v>
      </c>
      <c r="C289" s="135" t="s">
        <v>278</v>
      </c>
      <c r="D289" s="135" t="s">
        <v>279</v>
      </c>
    </row>
    <row r="290" spans="1:4">
      <c r="A290" s="135" t="s">
        <v>469</v>
      </c>
      <c r="B290" s="135" t="s">
        <v>1895</v>
      </c>
      <c r="C290" s="135" t="s">
        <v>380</v>
      </c>
      <c r="D290" s="135" t="s">
        <v>46</v>
      </c>
    </row>
    <row r="291" spans="1:4">
      <c r="A291" s="135" t="s">
        <v>470</v>
      </c>
      <c r="B291" s="135" t="s">
        <v>1895</v>
      </c>
      <c r="C291" s="135" t="s">
        <v>380</v>
      </c>
      <c r="D291" s="135" t="s">
        <v>46</v>
      </c>
    </row>
    <row r="292" spans="1:4">
      <c r="A292" s="135" t="s">
        <v>471</v>
      </c>
      <c r="B292" s="135" t="s">
        <v>1895</v>
      </c>
      <c r="C292" s="135" t="s">
        <v>457</v>
      </c>
      <c r="D292" s="135" t="s">
        <v>272</v>
      </c>
    </row>
    <row r="293" spans="1:4">
      <c r="A293" s="135" t="s">
        <v>472</v>
      </c>
      <c r="B293" s="135" t="s">
        <v>1895</v>
      </c>
      <c r="C293" s="135" t="s">
        <v>457</v>
      </c>
      <c r="D293" s="135" t="s">
        <v>272</v>
      </c>
    </row>
    <row r="294" spans="1:4">
      <c r="A294" s="135" t="s">
        <v>473</v>
      </c>
      <c r="B294" s="135" t="s">
        <v>1895</v>
      </c>
      <c r="C294" s="135" t="s">
        <v>457</v>
      </c>
      <c r="D294" s="135" t="s">
        <v>474</v>
      </c>
    </row>
    <row r="295" spans="1:4">
      <c r="A295" s="135" t="s">
        <v>475</v>
      </c>
      <c r="B295" s="135" t="s">
        <v>1895</v>
      </c>
      <c r="C295" s="135" t="s">
        <v>457</v>
      </c>
      <c r="D295" s="135" t="s">
        <v>272</v>
      </c>
    </row>
    <row r="296" spans="1:4">
      <c r="A296" s="135" t="s">
        <v>476</v>
      </c>
      <c r="B296" s="135" t="s">
        <v>1895</v>
      </c>
      <c r="C296" s="135" t="s">
        <v>457</v>
      </c>
      <c r="D296" s="135" t="s">
        <v>272</v>
      </c>
    </row>
    <row r="297" spans="1:4">
      <c r="A297" s="135" t="s">
        <v>479</v>
      </c>
      <c r="B297" s="135" t="s">
        <v>1895</v>
      </c>
      <c r="C297" s="135" t="s">
        <v>457</v>
      </c>
      <c r="D297" s="135" t="s">
        <v>478</v>
      </c>
    </row>
    <row r="298" spans="1:4">
      <c r="A298" s="135" t="s">
        <v>480</v>
      </c>
      <c r="B298" s="135" t="s">
        <v>1895</v>
      </c>
      <c r="C298" s="135" t="s">
        <v>457</v>
      </c>
      <c r="D298" s="135" t="s">
        <v>478</v>
      </c>
    </row>
    <row r="299" spans="1:4">
      <c r="A299" s="135" t="s">
        <v>481</v>
      </c>
      <c r="B299" s="135" t="s">
        <v>1895</v>
      </c>
      <c r="C299" s="135" t="s">
        <v>457</v>
      </c>
      <c r="D299" s="135" t="s">
        <v>478</v>
      </c>
    </row>
    <row r="300" spans="1:4">
      <c r="A300" s="135" t="s">
        <v>482</v>
      </c>
      <c r="B300" s="135" t="s">
        <v>1895</v>
      </c>
      <c r="C300" s="135" t="s">
        <v>457</v>
      </c>
      <c r="D300" s="135" t="s">
        <v>478</v>
      </c>
    </row>
    <row r="301" spans="1:4">
      <c r="A301" s="135" t="s">
        <v>483</v>
      </c>
      <c r="B301" s="135" t="s">
        <v>1895</v>
      </c>
      <c r="C301" s="135" t="s">
        <v>457</v>
      </c>
      <c r="D301" s="135" t="s">
        <v>478</v>
      </c>
    </row>
    <row r="302" spans="1:4">
      <c r="A302" s="135" t="s">
        <v>484</v>
      </c>
      <c r="B302" s="135" t="s">
        <v>1895</v>
      </c>
      <c r="C302" s="135" t="s">
        <v>457</v>
      </c>
      <c r="D302" s="135" t="s">
        <v>474</v>
      </c>
    </row>
    <row r="303" spans="1:4">
      <c r="A303" s="135" t="s">
        <v>485</v>
      </c>
      <c r="B303" s="135" t="s">
        <v>1895</v>
      </c>
      <c r="C303" s="135" t="s">
        <v>457</v>
      </c>
      <c r="D303" s="135" t="s">
        <v>478</v>
      </c>
    </row>
    <row r="304" spans="1:4">
      <c r="A304" s="135" t="s">
        <v>486</v>
      </c>
      <c r="B304" s="135" t="s">
        <v>1895</v>
      </c>
      <c r="C304" s="135" t="s">
        <v>457</v>
      </c>
      <c r="D304" s="135" t="s">
        <v>478</v>
      </c>
    </row>
    <row r="305" spans="1:4">
      <c r="A305" s="135" t="s">
        <v>487</v>
      </c>
      <c r="B305" s="135" t="s">
        <v>1895</v>
      </c>
      <c r="C305" s="135" t="s">
        <v>457</v>
      </c>
      <c r="D305" s="135" t="s">
        <v>478</v>
      </c>
    </row>
    <row r="306" spans="1:4">
      <c r="A306" s="135" t="s">
        <v>488</v>
      </c>
      <c r="B306" s="135" t="s">
        <v>1895</v>
      </c>
      <c r="C306" s="135" t="s">
        <v>457</v>
      </c>
      <c r="D306" s="135" t="s">
        <v>478</v>
      </c>
    </row>
    <row r="307" spans="1:4">
      <c r="A307" s="135" t="s">
        <v>489</v>
      </c>
      <c r="B307" s="135" t="s">
        <v>1895</v>
      </c>
      <c r="C307" s="135" t="s">
        <v>457</v>
      </c>
      <c r="D307" s="135" t="s">
        <v>478</v>
      </c>
    </row>
    <row r="308" spans="1:4">
      <c r="A308" s="135" t="s">
        <v>490</v>
      </c>
      <c r="B308" s="135" t="s">
        <v>1895</v>
      </c>
      <c r="C308" s="135" t="s">
        <v>491</v>
      </c>
      <c r="D308" s="135" t="s">
        <v>478</v>
      </c>
    </row>
    <row r="309" spans="1:4">
      <c r="A309" s="135" t="s">
        <v>492</v>
      </c>
      <c r="B309" s="135" t="s">
        <v>1895</v>
      </c>
      <c r="C309" s="135" t="s">
        <v>491</v>
      </c>
      <c r="D309" s="135" t="s">
        <v>478</v>
      </c>
    </row>
    <row r="310" spans="1:4">
      <c r="A310" s="135" t="s">
        <v>493</v>
      </c>
      <c r="B310" s="135" t="s">
        <v>1895</v>
      </c>
      <c r="C310" s="135" t="s">
        <v>491</v>
      </c>
      <c r="D310" s="135" t="s">
        <v>478</v>
      </c>
    </row>
    <row r="311" spans="1:4">
      <c r="A311" s="135" t="s">
        <v>494</v>
      </c>
      <c r="B311" s="135" t="s">
        <v>1895</v>
      </c>
      <c r="C311" s="135" t="s">
        <v>491</v>
      </c>
      <c r="D311" s="135" t="s">
        <v>478</v>
      </c>
    </row>
    <row r="312" spans="1:4">
      <c r="A312" s="135" t="s">
        <v>495</v>
      </c>
      <c r="B312" s="135" t="s">
        <v>1895</v>
      </c>
      <c r="C312" s="135" t="s">
        <v>491</v>
      </c>
      <c r="D312" s="135" t="s">
        <v>478</v>
      </c>
    </row>
    <row r="313" spans="1:4">
      <c r="A313" s="135" t="s">
        <v>496</v>
      </c>
      <c r="B313" s="135" t="s">
        <v>1895</v>
      </c>
      <c r="C313" s="135" t="s">
        <v>491</v>
      </c>
      <c r="D313" s="135" t="s">
        <v>478</v>
      </c>
    </row>
    <row r="314" spans="1:4">
      <c r="A314" s="135" t="s">
        <v>497</v>
      </c>
      <c r="B314" s="135" t="s">
        <v>1895</v>
      </c>
      <c r="C314" s="135" t="s">
        <v>491</v>
      </c>
      <c r="D314" s="135" t="s">
        <v>478</v>
      </c>
    </row>
    <row r="315" spans="1:4">
      <c r="A315" s="135" t="s">
        <v>498</v>
      </c>
      <c r="B315" s="135" t="s">
        <v>1895</v>
      </c>
      <c r="C315" s="135" t="s">
        <v>491</v>
      </c>
      <c r="D315" s="135" t="s">
        <v>478</v>
      </c>
    </row>
    <row r="316" spans="1:4">
      <c r="A316" s="135" t="s">
        <v>499</v>
      </c>
      <c r="B316" s="135" t="s">
        <v>1895</v>
      </c>
      <c r="C316" s="135" t="s">
        <v>491</v>
      </c>
      <c r="D316" s="135" t="s">
        <v>478</v>
      </c>
    </row>
    <row r="317" spans="1:4">
      <c r="A317" s="135" t="s">
        <v>500</v>
      </c>
      <c r="B317" s="135" t="s">
        <v>1895</v>
      </c>
      <c r="C317" s="135" t="s">
        <v>491</v>
      </c>
      <c r="D317" s="135" t="s">
        <v>478</v>
      </c>
    </row>
    <row r="318" spans="1:4">
      <c r="A318" s="135" t="s">
        <v>501</v>
      </c>
      <c r="B318" s="135" t="s">
        <v>1895</v>
      </c>
      <c r="C318" s="135" t="s">
        <v>1126</v>
      </c>
      <c r="D318" s="135" t="s">
        <v>478</v>
      </c>
    </row>
    <row r="319" spans="1:4">
      <c r="A319" s="135" t="s">
        <v>502</v>
      </c>
      <c r="B319" s="135" t="s">
        <v>1895</v>
      </c>
      <c r="C319" s="135" t="s">
        <v>1126</v>
      </c>
      <c r="D319" s="135" t="s">
        <v>477</v>
      </c>
    </row>
    <row r="320" spans="1:4">
      <c r="A320" s="135" t="s">
        <v>503</v>
      </c>
      <c r="B320" s="135" t="s">
        <v>1895</v>
      </c>
      <c r="C320" s="135" t="s">
        <v>1126</v>
      </c>
      <c r="D320" s="135" t="s">
        <v>477</v>
      </c>
    </row>
    <row r="321" spans="1:4">
      <c r="A321" s="135" t="s">
        <v>504</v>
      </c>
      <c r="B321" s="135" t="s">
        <v>1895</v>
      </c>
      <c r="C321" s="135" t="s">
        <v>1126</v>
      </c>
      <c r="D321" s="135" t="s">
        <v>477</v>
      </c>
    </row>
    <row r="322" spans="1:4">
      <c r="A322" s="135" t="s">
        <v>505</v>
      </c>
      <c r="B322" s="135" t="s">
        <v>1895</v>
      </c>
      <c r="C322" s="135" t="s">
        <v>278</v>
      </c>
      <c r="D322" s="135" t="s">
        <v>279</v>
      </c>
    </row>
    <row r="323" spans="1:4">
      <c r="A323" s="135" t="s">
        <v>506</v>
      </c>
      <c r="B323" s="135" t="s">
        <v>1895</v>
      </c>
      <c r="C323" s="135" t="s">
        <v>278</v>
      </c>
      <c r="D323" s="135" t="s">
        <v>279</v>
      </c>
    </row>
    <row r="324" spans="1:4">
      <c r="A324" s="135" t="s">
        <v>507</v>
      </c>
      <c r="B324" s="135" t="s">
        <v>1895</v>
      </c>
      <c r="C324" s="135" t="s">
        <v>457</v>
      </c>
      <c r="D324" s="135" t="s">
        <v>474</v>
      </c>
    </row>
    <row r="325" spans="1:4">
      <c r="A325" s="135" t="s">
        <v>508</v>
      </c>
      <c r="B325" s="135" t="s">
        <v>1895</v>
      </c>
      <c r="C325" s="135" t="s">
        <v>457</v>
      </c>
      <c r="D325" s="135" t="s">
        <v>474</v>
      </c>
    </row>
    <row r="326" spans="1:4">
      <c r="A326" s="135" t="s">
        <v>509</v>
      </c>
      <c r="B326" s="135" t="s">
        <v>1895</v>
      </c>
      <c r="C326" s="135" t="s">
        <v>457</v>
      </c>
      <c r="D326" s="135" t="s">
        <v>474</v>
      </c>
    </row>
    <row r="327" spans="1:4">
      <c r="A327" s="135" t="s">
        <v>510</v>
      </c>
      <c r="B327" s="135" t="s">
        <v>1895</v>
      </c>
      <c r="C327" s="135" t="s">
        <v>457</v>
      </c>
      <c r="D327" s="135" t="s">
        <v>474</v>
      </c>
    </row>
    <row r="328" spans="1:4">
      <c r="A328" s="135" t="s">
        <v>511</v>
      </c>
      <c r="B328" s="135" t="s">
        <v>1895</v>
      </c>
      <c r="C328" s="135" t="s">
        <v>457</v>
      </c>
      <c r="D328" s="135" t="s">
        <v>474</v>
      </c>
    </row>
    <row r="329" spans="1:4">
      <c r="A329" s="135" t="s">
        <v>512</v>
      </c>
      <c r="B329" s="135" t="s">
        <v>1895</v>
      </c>
      <c r="C329" s="135" t="s">
        <v>457</v>
      </c>
      <c r="D329" s="135" t="s">
        <v>474</v>
      </c>
    </row>
    <row r="330" spans="1:4">
      <c r="A330" s="135" t="s">
        <v>513</v>
      </c>
      <c r="B330" s="135" t="s">
        <v>1895</v>
      </c>
      <c r="C330" s="135" t="s">
        <v>457</v>
      </c>
      <c r="D330" s="135" t="s">
        <v>474</v>
      </c>
    </row>
    <row r="331" spans="1:4">
      <c r="A331" s="135" t="s">
        <v>514</v>
      </c>
      <c r="B331" s="135" t="s">
        <v>1895</v>
      </c>
      <c r="C331" s="135" t="s">
        <v>457</v>
      </c>
      <c r="D331" s="135" t="s">
        <v>474</v>
      </c>
    </row>
    <row r="332" spans="1:4">
      <c r="A332" s="135" t="s">
        <v>515</v>
      </c>
      <c r="B332" s="135" t="s">
        <v>1895</v>
      </c>
      <c r="C332" s="135" t="s">
        <v>457</v>
      </c>
      <c r="D332" s="135" t="s">
        <v>474</v>
      </c>
    </row>
    <row r="333" spans="1:4">
      <c r="A333" s="135" t="s">
        <v>516</v>
      </c>
      <c r="B333" s="135" t="s">
        <v>1895</v>
      </c>
      <c r="C333" s="135" t="s">
        <v>457</v>
      </c>
      <c r="D333" s="135" t="s">
        <v>474</v>
      </c>
    </row>
    <row r="334" spans="1:4">
      <c r="A334" s="135" t="s">
        <v>517</v>
      </c>
      <c r="B334" s="135" t="s">
        <v>1895</v>
      </c>
      <c r="C334" s="135" t="s">
        <v>457</v>
      </c>
      <c r="D334" s="135" t="s">
        <v>974</v>
      </c>
    </row>
    <row r="335" spans="1:4">
      <c r="A335" s="135" t="s">
        <v>518</v>
      </c>
      <c r="B335" s="135" t="s">
        <v>1895</v>
      </c>
      <c r="C335" s="135" t="s">
        <v>457</v>
      </c>
      <c r="D335" s="135" t="s">
        <v>474</v>
      </c>
    </row>
    <row r="336" spans="1:4">
      <c r="A336" s="135" t="s">
        <v>519</v>
      </c>
      <c r="B336" s="135" t="s">
        <v>1895</v>
      </c>
      <c r="C336" s="135" t="s">
        <v>457</v>
      </c>
      <c r="D336" s="135" t="s">
        <v>474</v>
      </c>
    </row>
    <row r="337" spans="1:4">
      <c r="A337" s="135" t="s">
        <v>520</v>
      </c>
      <c r="B337" s="135" t="s">
        <v>1895</v>
      </c>
      <c r="C337" s="135" t="s">
        <v>1126</v>
      </c>
      <c r="D337" s="135" t="s">
        <v>474</v>
      </c>
    </row>
    <row r="338" spans="1:4">
      <c r="A338" s="135" t="s">
        <v>521</v>
      </c>
      <c r="B338" s="135" t="s">
        <v>1895</v>
      </c>
      <c r="C338" s="135" t="s">
        <v>1126</v>
      </c>
      <c r="D338" s="135" t="s">
        <v>527</v>
      </c>
    </row>
    <row r="339" spans="1:4">
      <c r="A339" s="135" t="s">
        <v>522</v>
      </c>
      <c r="B339" s="135" t="s">
        <v>1895</v>
      </c>
      <c r="C339" s="135" t="s">
        <v>1126</v>
      </c>
      <c r="D339" s="135" t="s">
        <v>474</v>
      </c>
    </row>
    <row r="340" spans="1:4">
      <c r="A340" s="135" t="s">
        <v>523</v>
      </c>
      <c r="B340" s="135" t="s">
        <v>1895</v>
      </c>
      <c r="C340" s="135" t="s">
        <v>1126</v>
      </c>
      <c r="D340" s="135" t="s">
        <v>474</v>
      </c>
    </row>
    <row r="341" spans="1:4">
      <c r="A341" s="135" t="s">
        <v>524</v>
      </c>
      <c r="B341" s="135" t="s">
        <v>1895</v>
      </c>
      <c r="C341" s="135" t="s">
        <v>1126</v>
      </c>
      <c r="D341" s="135" t="s">
        <v>474</v>
      </c>
    </row>
    <row r="342" spans="1:4">
      <c r="A342" s="135" t="s">
        <v>525</v>
      </c>
      <c r="B342" s="135" t="s">
        <v>1895</v>
      </c>
      <c r="C342" s="135" t="s">
        <v>1126</v>
      </c>
      <c r="D342" s="135" t="s">
        <v>474</v>
      </c>
    </row>
    <row r="343" spans="1:4">
      <c r="A343" s="135" t="s">
        <v>526</v>
      </c>
      <c r="B343" s="135" t="s">
        <v>1895</v>
      </c>
      <c r="C343" s="135" t="s">
        <v>1126</v>
      </c>
      <c r="D343" s="135" t="s">
        <v>474</v>
      </c>
    </row>
    <row r="344" spans="1:4">
      <c r="A344" s="135" t="s">
        <v>528</v>
      </c>
      <c r="B344" s="135" t="s">
        <v>1895</v>
      </c>
      <c r="C344" s="135" t="s">
        <v>1126</v>
      </c>
      <c r="D344" s="135" t="s">
        <v>527</v>
      </c>
    </row>
    <row r="345" spans="1:4">
      <c r="A345" s="135" t="s">
        <v>529</v>
      </c>
      <c r="B345" s="135" t="s">
        <v>1895</v>
      </c>
      <c r="C345" s="135" t="s">
        <v>1126</v>
      </c>
      <c r="D345" s="135" t="s">
        <v>527</v>
      </c>
    </row>
    <row r="346" spans="1:4">
      <c r="A346" s="135" t="s">
        <v>530</v>
      </c>
      <c r="B346" s="135" t="s">
        <v>1895</v>
      </c>
      <c r="C346" s="135" t="s">
        <v>1126</v>
      </c>
      <c r="D346" s="135" t="s">
        <v>527</v>
      </c>
    </row>
    <row r="347" spans="1:4">
      <c r="A347" s="135" t="s">
        <v>531</v>
      </c>
      <c r="B347" s="135" t="s">
        <v>1895</v>
      </c>
      <c r="C347" s="135" t="s">
        <v>1126</v>
      </c>
      <c r="D347" s="135" t="s">
        <v>527</v>
      </c>
    </row>
    <row r="348" spans="1:4">
      <c r="A348" s="135" t="s">
        <v>532</v>
      </c>
      <c r="B348" s="135" t="s">
        <v>1895</v>
      </c>
      <c r="C348" s="135" t="s">
        <v>1126</v>
      </c>
      <c r="D348" s="135" t="s">
        <v>527</v>
      </c>
    </row>
    <row r="349" spans="1:4">
      <c r="A349" s="135" t="s">
        <v>533</v>
      </c>
      <c r="B349" s="135" t="s">
        <v>1895</v>
      </c>
      <c r="C349" s="135" t="s">
        <v>1126</v>
      </c>
      <c r="D349" s="135" t="s">
        <v>527</v>
      </c>
    </row>
    <row r="350" spans="1:4">
      <c r="A350" s="135" t="s">
        <v>534</v>
      </c>
      <c r="B350" s="135" t="s">
        <v>1895</v>
      </c>
      <c r="C350" s="135" t="s">
        <v>1126</v>
      </c>
      <c r="D350" s="135" t="s">
        <v>527</v>
      </c>
    </row>
    <row r="351" spans="1:4">
      <c r="A351" s="135" t="s">
        <v>535</v>
      </c>
      <c r="B351" s="135" t="s">
        <v>1895</v>
      </c>
      <c r="C351" s="135" t="s">
        <v>1126</v>
      </c>
      <c r="D351" s="135" t="s">
        <v>527</v>
      </c>
    </row>
    <row r="352" spans="1:4">
      <c r="A352" s="135" t="s">
        <v>536</v>
      </c>
      <c r="B352" s="135" t="s">
        <v>1895</v>
      </c>
      <c r="C352" s="135" t="s">
        <v>1126</v>
      </c>
      <c r="D352" s="135" t="s">
        <v>527</v>
      </c>
    </row>
    <row r="353" spans="1:4">
      <c r="A353" s="135" t="s">
        <v>537</v>
      </c>
      <c r="B353" s="135" t="s">
        <v>1895</v>
      </c>
      <c r="C353" s="135" t="s">
        <v>1126</v>
      </c>
      <c r="D353" s="135" t="s">
        <v>474</v>
      </c>
    </row>
    <row r="354" spans="1:4">
      <c r="A354" s="135" t="s">
        <v>538</v>
      </c>
      <c r="B354" s="135" t="s">
        <v>1895</v>
      </c>
      <c r="C354" s="135" t="s">
        <v>1126</v>
      </c>
      <c r="D354" s="135" t="s">
        <v>474</v>
      </c>
    </row>
    <row r="355" spans="1:4">
      <c r="A355" s="135" t="s">
        <v>539</v>
      </c>
      <c r="B355" s="135" t="s">
        <v>1895</v>
      </c>
      <c r="C355" s="135" t="s">
        <v>1126</v>
      </c>
      <c r="D355" s="135" t="s">
        <v>474</v>
      </c>
    </row>
    <row r="356" spans="1:4">
      <c r="A356" s="135" t="s">
        <v>540</v>
      </c>
      <c r="B356" s="135" t="s">
        <v>1895</v>
      </c>
      <c r="C356" s="135" t="s">
        <v>367</v>
      </c>
      <c r="D356" s="135" t="s">
        <v>279</v>
      </c>
    </row>
    <row r="357" spans="1:4">
      <c r="A357" s="135" t="s">
        <v>541</v>
      </c>
      <c r="B357" s="135" t="s">
        <v>1895</v>
      </c>
      <c r="C357" s="135" t="s">
        <v>455</v>
      </c>
      <c r="D357" s="135" t="s">
        <v>279</v>
      </c>
    </row>
    <row r="358" spans="1:4">
      <c r="A358" s="135" t="s">
        <v>542</v>
      </c>
      <c r="B358" s="135" t="s">
        <v>1895</v>
      </c>
      <c r="C358" s="135" t="s">
        <v>1126</v>
      </c>
      <c r="D358" s="135" t="s">
        <v>477</v>
      </c>
    </row>
    <row r="359" spans="1:4">
      <c r="A359" s="135" t="s">
        <v>543</v>
      </c>
      <c r="B359" s="135" t="s">
        <v>1895</v>
      </c>
      <c r="C359" s="135" t="s">
        <v>544</v>
      </c>
      <c r="D359" s="135" t="s">
        <v>527</v>
      </c>
    </row>
    <row r="360" spans="1:4">
      <c r="A360" s="135" t="s">
        <v>545</v>
      </c>
      <c r="B360" s="135" t="s">
        <v>1895</v>
      </c>
      <c r="C360" s="135" t="s">
        <v>544</v>
      </c>
      <c r="D360" s="135" t="s">
        <v>527</v>
      </c>
    </row>
    <row r="361" spans="1:4">
      <c r="A361" s="135" t="s">
        <v>546</v>
      </c>
      <c r="B361" s="135" t="s">
        <v>1895</v>
      </c>
      <c r="C361" s="135" t="s">
        <v>544</v>
      </c>
      <c r="D361" s="135" t="s">
        <v>527</v>
      </c>
    </row>
    <row r="362" spans="1:4">
      <c r="A362" s="135" t="s">
        <v>547</v>
      </c>
      <c r="B362" s="135" t="s">
        <v>1895</v>
      </c>
      <c r="C362" s="135" t="s">
        <v>544</v>
      </c>
      <c r="D362" s="135" t="s">
        <v>527</v>
      </c>
    </row>
    <row r="363" spans="1:4">
      <c r="A363" s="135" t="s">
        <v>548</v>
      </c>
      <c r="B363" s="135" t="s">
        <v>1895</v>
      </c>
      <c r="C363" s="135" t="s">
        <v>544</v>
      </c>
      <c r="D363" s="135" t="s">
        <v>527</v>
      </c>
    </row>
    <row r="364" spans="1:4">
      <c r="A364" s="135" t="s">
        <v>549</v>
      </c>
      <c r="B364" s="135" t="s">
        <v>1895</v>
      </c>
      <c r="C364" s="135" t="s">
        <v>544</v>
      </c>
      <c r="D364" s="135" t="s">
        <v>527</v>
      </c>
    </row>
    <row r="365" spans="1:4">
      <c r="A365" s="135" t="s">
        <v>550</v>
      </c>
      <c r="B365" s="135" t="s">
        <v>1895</v>
      </c>
      <c r="C365" s="135" t="s">
        <v>544</v>
      </c>
      <c r="D365" s="135" t="s">
        <v>527</v>
      </c>
    </row>
    <row r="366" spans="1:4">
      <c r="A366" s="135" t="s">
        <v>551</v>
      </c>
      <c r="B366" s="135" t="s">
        <v>1895</v>
      </c>
      <c r="C366" s="135" t="s">
        <v>544</v>
      </c>
      <c r="D366" s="135" t="s">
        <v>527</v>
      </c>
    </row>
    <row r="367" spans="1:4">
      <c r="A367" s="135" t="s">
        <v>552</v>
      </c>
      <c r="B367" s="135" t="s">
        <v>1895</v>
      </c>
      <c r="C367" s="135" t="s">
        <v>544</v>
      </c>
      <c r="D367" s="135" t="s">
        <v>474</v>
      </c>
    </row>
    <row r="368" spans="1:4">
      <c r="A368" s="135" t="s">
        <v>553</v>
      </c>
      <c r="B368" s="135" t="s">
        <v>1895</v>
      </c>
      <c r="C368" s="135" t="s">
        <v>544</v>
      </c>
      <c r="D368" s="135" t="s">
        <v>474</v>
      </c>
    </row>
    <row r="369" spans="1:4">
      <c r="A369" s="135" t="s">
        <v>554</v>
      </c>
      <c r="B369" s="135" t="s">
        <v>1895</v>
      </c>
      <c r="C369" s="135" t="s">
        <v>544</v>
      </c>
      <c r="D369" s="135" t="s">
        <v>474</v>
      </c>
    </row>
    <row r="370" spans="1:4">
      <c r="A370" s="135" t="s">
        <v>555</v>
      </c>
      <c r="B370" s="135" t="s">
        <v>1895</v>
      </c>
      <c r="C370" s="135" t="s">
        <v>544</v>
      </c>
      <c r="D370" s="135" t="s">
        <v>474</v>
      </c>
    </row>
    <row r="371" spans="1:4">
      <c r="A371" s="135" t="s">
        <v>556</v>
      </c>
      <c r="B371" s="135" t="s">
        <v>1895</v>
      </c>
      <c r="C371" s="135" t="s">
        <v>544</v>
      </c>
      <c r="D371" s="135" t="s">
        <v>474</v>
      </c>
    </row>
    <row r="372" spans="1:4">
      <c r="A372" s="135" t="s">
        <v>557</v>
      </c>
      <c r="B372" s="135" t="s">
        <v>1895</v>
      </c>
      <c r="C372" s="135" t="s">
        <v>544</v>
      </c>
      <c r="D372" s="135" t="s">
        <v>474</v>
      </c>
    </row>
    <row r="373" spans="1:4">
      <c r="A373" s="135" t="s">
        <v>558</v>
      </c>
      <c r="B373" s="135" t="s">
        <v>1895</v>
      </c>
      <c r="C373" s="135" t="s">
        <v>544</v>
      </c>
      <c r="D373" s="135" t="s">
        <v>474</v>
      </c>
    </row>
    <row r="374" spans="1:4">
      <c r="A374" s="135" t="s">
        <v>559</v>
      </c>
      <c r="B374" s="135" t="s">
        <v>1895</v>
      </c>
      <c r="C374" s="135" t="s">
        <v>544</v>
      </c>
      <c r="D374" s="135" t="s">
        <v>474</v>
      </c>
    </row>
    <row r="375" spans="1:4">
      <c r="A375" s="135" t="s">
        <v>560</v>
      </c>
      <c r="B375" s="135" t="s">
        <v>1895</v>
      </c>
      <c r="C375" s="135" t="s">
        <v>544</v>
      </c>
      <c r="D375" s="135" t="s">
        <v>474</v>
      </c>
    </row>
    <row r="376" spans="1:4">
      <c r="A376" s="135" t="s">
        <v>561</v>
      </c>
      <c r="B376" s="135" t="s">
        <v>1895</v>
      </c>
      <c r="C376" s="135" t="s">
        <v>544</v>
      </c>
      <c r="D376" s="135" t="s">
        <v>474</v>
      </c>
    </row>
    <row r="377" spans="1:4">
      <c r="A377" s="135" t="s">
        <v>562</v>
      </c>
      <c r="B377" s="135" t="s">
        <v>1895</v>
      </c>
      <c r="C377" s="135" t="s">
        <v>544</v>
      </c>
      <c r="D377" s="135" t="s">
        <v>474</v>
      </c>
    </row>
    <row r="378" spans="1:4">
      <c r="A378" s="135" t="s">
        <v>563</v>
      </c>
      <c r="B378" s="135" t="s">
        <v>1895</v>
      </c>
      <c r="C378" s="135" t="s">
        <v>544</v>
      </c>
      <c r="D378" s="135" t="s">
        <v>474</v>
      </c>
    </row>
    <row r="379" spans="1:4">
      <c r="A379" s="135" t="s">
        <v>564</v>
      </c>
      <c r="B379" s="135" t="s">
        <v>1895</v>
      </c>
      <c r="C379" s="135" t="s">
        <v>278</v>
      </c>
      <c r="D379" s="135" t="s">
        <v>46</v>
      </c>
    </row>
    <row r="380" spans="1:4">
      <c r="A380" s="135" t="s">
        <v>565</v>
      </c>
      <c r="B380" s="135" t="s">
        <v>1895</v>
      </c>
      <c r="C380" s="135" t="s">
        <v>359</v>
      </c>
      <c r="D380" s="135" t="s">
        <v>165</v>
      </c>
    </row>
    <row r="381" spans="1:4">
      <c r="A381" s="135" t="s">
        <v>566</v>
      </c>
      <c r="B381" s="135" t="s">
        <v>1895</v>
      </c>
      <c r="C381" s="135" t="s">
        <v>359</v>
      </c>
      <c r="D381" s="135" t="s">
        <v>165</v>
      </c>
    </row>
    <row r="382" spans="1:4">
      <c r="A382" s="135" t="s">
        <v>567</v>
      </c>
      <c r="B382" s="135" t="s">
        <v>1895</v>
      </c>
      <c r="C382" s="135" t="s">
        <v>359</v>
      </c>
      <c r="D382" s="135" t="s">
        <v>165</v>
      </c>
    </row>
    <row r="383" spans="1:4">
      <c r="A383" s="135" t="s">
        <v>568</v>
      </c>
      <c r="B383" s="135" t="s">
        <v>1895</v>
      </c>
      <c r="C383" s="135" t="s">
        <v>278</v>
      </c>
      <c r="D383" s="135" t="s">
        <v>154</v>
      </c>
    </row>
    <row r="384" spans="1:4">
      <c r="A384" s="135" t="s">
        <v>569</v>
      </c>
      <c r="B384" s="135" t="s">
        <v>1895</v>
      </c>
      <c r="C384" s="135" t="s">
        <v>367</v>
      </c>
      <c r="D384" s="135" t="s">
        <v>279</v>
      </c>
    </row>
    <row r="385" spans="1:4">
      <c r="A385" s="135" t="s">
        <v>75</v>
      </c>
      <c r="B385" s="135" t="s">
        <v>1895</v>
      </c>
      <c r="C385" s="135" t="s">
        <v>455</v>
      </c>
      <c r="D385" s="135" t="s">
        <v>125</v>
      </c>
    </row>
    <row r="386" spans="1:4">
      <c r="A386" s="135" t="s">
        <v>570</v>
      </c>
      <c r="B386" s="135" t="s">
        <v>1895</v>
      </c>
      <c r="C386" s="135" t="s">
        <v>278</v>
      </c>
      <c r="D386" s="135" t="s">
        <v>46</v>
      </c>
    </row>
    <row r="387" spans="1:4">
      <c r="A387" s="135" t="s">
        <v>571</v>
      </c>
      <c r="B387" s="135" t="s">
        <v>1895</v>
      </c>
      <c r="C387" s="135" t="s">
        <v>455</v>
      </c>
      <c r="D387" s="135" t="s">
        <v>279</v>
      </c>
    </row>
    <row r="388" spans="1:4">
      <c r="A388" s="135" t="s">
        <v>572</v>
      </c>
      <c r="B388" s="135" t="s">
        <v>1895</v>
      </c>
      <c r="C388" s="135" t="s">
        <v>455</v>
      </c>
      <c r="D388" s="135" t="s">
        <v>279</v>
      </c>
    </row>
    <row r="389" spans="1:4">
      <c r="A389" s="135" t="s">
        <v>573</v>
      </c>
      <c r="B389" s="135" t="s">
        <v>1895</v>
      </c>
      <c r="C389" s="135" t="s">
        <v>380</v>
      </c>
      <c r="D389" s="135" t="s">
        <v>46</v>
      </c>
    </row>
    <row r="390" spans="1:4">
      <c r="A390" s="135" t="s">
        <v>574</v>
      </c>
      <c r="B390" s="135" t="s">
        <v>1895</v>
      </c>
      <c r="C390" s="135" t="s">
        <v>380</v>
      </c>
      <c r="D390" s="135" t="s">
        <v>46</v>
      </c>
    </row>
    <row r="391" spans="1:4">
      <c r="A391" s="135" t="s">
        <v>575</v>
      </c>
      <c r="B391" s="135" t="s">
        <v>1895</v>
      </c>
      <c r="C391" s="135" t="s">
        <v>455</v>
      </c>
      <c r="D391" s="135" t="s">
        <v>279</v>
      </c>
    </row>
    <row r="392" spans="1:4">
      <c r="A392" s="135" t="s">
        <v>33</v>
      </c>
      <c r="B392" s="135" t="s">
        <v>1895</v>
      </c>
      <c r="C392" s="135" t="s">
        <v>380</v>
      </c>
      <c r="D392" s="135" t="s">
        <v>46</v>
      </c>
    </row>
    <row r="393" spans="1:4">
      <c r="A393" s="135" t="s">
        <v>576</v>
      </c>
      <c r="B393" s="135" t="s">
        <v>1895</v>
      </c>
      <c r="C393" s="135" t="s">
        <v>367</v>
      </c>
      <c r="D393" s="135" t="s">
        <v>279</v>
      </c>
    </row>
    <row r="394" spans="1:4">
      <c r="A394" s="135" t="s">
        <v>577</v>
      </c>
      <c r="B394" s="135" t="s">
        <v>1895</v>
      </c>
      <c r="C394" s="135" t="s">
        <v>367</v>
      </c>
      <c r="D394" s="135" t="s">
        <v>279</v>
      </c>
    </row>
    <row r="395" spans="1:4">
      <c r="A395" s="135" t="s">
        <v>89</v>
      </c>
      <c r="B395" s="135" t="s">
        <v>1895</v>
      </c>
      <c r="C395" s="135" t="s">
        <v>380</v>
      </c>
      <c r="D395" s="135" t="s">
        <v>46</v>
      </c>
    </row>
    <row r="396" spans="1:4">
      <c r="A396" s="135" t="s">
        <v>578</v>
      </c>
      <c r="B396" s="135" t="s">
        <v>1895</v>
      </c>
      <c r="C396" s="135" t="s">
        <v>278</v>
      </c>
      <c r="D396" s="135" t="s">
        <v>147</v>
      </c>
    </row>
    <row r="397" spans="1:4">
      <c r="A397" s="135" t="s">
        <v>579</v>
      </c>
      <c r="B397" s="135" t="s">
        <v>1895</v>
      </c>
      <c r="C397" s="135" t="s">
        <v>367</v>
      </c>
      <c r="D397" s="135" t="s">
        <v>279</v>
      </c>
    </row>
    <row r="398" spans="1:4">
      <c r="A398" s="135" t="s">
        <v>49</v>
      </c>
      <c r="B398" s="135" t="s">
        <v>1895</v>
      </c>
      <c r="C398" s="135" t="s">
        <v>359</v>
      </c>
      <c r="D398" s="135" t="s">
        <v>165</v>
      </c>
    </row>
    <row r="399" spans="1:4">
      <c r="A399" s="135" t="s">
        <v>580</v>
      </c>
      <c r="B399" s="135" t="s">
        <v>1895</v>
      </c>
      <c r="C399" s="135" t="s">
        <v>278</v>
      </c>
      <c r="D399" s="135" t="s">
        <v>279</v>
      </c>
    </row>
    <row r="400" spans="1:4">
      <c r="A400" s="135" t="s">
        <v>581</v>
      </c>
      <c r="B400" s="135" t="s">
        <v>1895</v>
      </c>
      <c r="C400" s="135" t="s">
        <v>1126</v>
      </c>
      <c r="D400" s="135" t="s">
        <v>294</v>
      </c>
    </row>
    <row r="401" spans="1:4">
      <c r="A401" s="135" t="s">
        <v>582</v>
      </c>
      <c r="B401" s="135" t="s">
        <v>1895</v>
      </c>
      <c r="C401" s="135" t="s">
        <v>335</v>
      </c>
      <c r="D401" s="135" t="s">
        <v>292</v>
      </c>
    </row>
    <row r="402" spans="1:4">
      <c r="A402" s="135" t="s">
        <v>583</v>
      </c>
      <c r="B402" s="135" t="s">
        <v>1895</v>
      </c>
      <c r="C402" s="135" t="s">
        <v>335</v>
      </c>
      <c r="D402" s="135" t="s">
        <v>292</v>
      </c>
    </row>
    <row r="403" spans="1:4">
      <c r="A403" s="135" t="s">
        <v>1130</v>
      </c>
      <c r="B403" s="135" t="s">
        <v>1895</v>
      </c>
      <c r="C403" s="135" t="s">
        <v>359</v>
      </c>
      <c r="D403" s="135" t="s">
        <v>165</v>
      </c>
    </row>
    <row r="404" spans="1:4">
      <c r="A404" s="135" t="s">
        <v>1098</v>
      </c>
      <c r="B404" s="135" t="s">
        <v>1895</v>
      </c>
      <c r="C404" s="135" t="s">
        <v>335</v>
      </c>
      <c r="D404" s="135" t="s">
        <v>292</v>
      </c>
    </row>
    <row r="405" spans="1:4">
      <c r="A405" s="135" t="s">
        <v>1131</v>
      </c>
      <c r="B405" s="135" t="s">
        <v>1895</v>
      </c>
      <c r="C405" s="135" t="s">
        <v>335</v>
      </c>
      <c r="D405" s="135" t="s">
        <v>165</v>
      </c>
    </row>
    <row r="406" spans="1:4">
      <c r="A406" s="135" t="s">
        <v>1132</v>
      </c>
      <c r="B406" s="135" t="s">
        <v>1895</v>
      </c>
      <c r="C406" s="135" t="s">
        <v>335</v>
      </c>
      <c r="D406" s="135" t="s">
        <v>165</v>
      </c>
    </row>
    <row r="407" spans="1:4">
      <c r="A407" s="135" t="s">
        <v>1133</v>
      </c>
      <c r="B407" s="135" t="s">
        <v>1895</v>
      </c>
      <c r="C407" s="135" t="s">
        <v>335</v>
      </c>
      <c r="D407" s="135" t="s">
        <v>292</v>
      </c>
    </row>
    <row r="408" spans="1:4">
      <c r="A408" s="135" t="s">
        <v>1134</v>
      </c>
      <c r="B408" s="135" t="s">
        <v>1895</v>
      </c>
      <c r="C408" s="135" t="s">
        <v>1126</v>
      </c>
      <c r="D408" s="135" t="s">
        <v>527</v>
      </c>
    </row>
    <row r="409" spans="1:4">
      <c r="A409" s="135" t="s">
        <v>1135</v>
      </c>
      <c r="B409" s="135" t="s">
        <v>1895</v>
      </c>
      <c r="C409" s="135" t="s">
        <v>335</v>
      </c>
      <c r="D409" s="135" t="s">
        <v>292</v>
      </c>
    </row>
    <row r="410" spans="1:4">
      <c r="A410" s="135" t="s">
        <v>1104</v>
      </c>
      <c r="B410" s="135" t="s">
        <v>1895</v>
      </c>
      <c r="C410" s="135" t="s">
        <v>335</v>
      </c>
      <c r="D410" s="135" t="s">
        <v>292</v>
      </c>
    </row>
    <row r="411" spans="1:4">
      <c r="A411" s="135" t="s">
        <v>1136</v>
      </c>
      <c r="B411" s="135" t="s">
        <v>1895</v>
      </c>
      <c r="C411" s="135" t="s">
        <v>359</v>
      </c>
      <c r="D411" s="135" t="s">
        <v>165</v>
      </c>
    </row>
    <row r="412" spans="1:4">
      <c r="A412" s="135" t="s">
        <v>1137</v>
      </c>
      <c r="B412" s="135" t="s">
        <v>1895</v>
      </c>
      <c r="C412" s="135" t="s">
        <v>335</v>
      </c>
      <c r="D412" s="135" t="s">
        <v>478</v>
      </c>
    </row>
    <row r="413" spans="1:4">
      <c r="A413" s="135" t="s">
        <v>1138</v>
      </c>
      <c r="B413" s="135" t="s">
        <v>1895</v>
      </c>
      <c r="C413" s="135" t="s">
        <v>335</v>
      </c>
      <c r="D413" s="135" t="s">
        <v>478</v>
      </c>
    </row>
    <row r="414" spans="1:4">
      <c r="A414" s="135" t="s">
        <v>1139</v>
      </c>
      <c r="B414" s="135" t="s">
        <v>1895</v>
      </c>
      <c r="C414" s="135" t="s">
        <v>335</v>
      </c>
      <c r="D414" s="135" t="s">
        <v>478</v>
      </c>
    </row>
    <row r="415" spans="1:4">
      <c r="A415" s="135" t="s">
        <v>1140</v>
      </c>
      <c r="B415" s="135" t="s">
        <v>1895</v>
      </c>
      <c r="C415" s="135" t="s">
        <v>1126</v>
      </c>
      <c r="D415" s="135" t="s">
        <v>477</v>
      </c>
    </row>
    <row r="416" spans="1:4">
      <c r="A416" s="135" t="s">
        <v>1141</v>
      </c>
      <c r="B416" s="135" t="s">
        <v>1895</v>
      </c>
      <c r="C416" s="135" t="s">
        <v>1126</v>
      </c>
      <c r="D416" s="135" t="s">
        <v>477</v>
      </c>
    </row>
    <row r="417" spans="1:4">
      <c r="A417" s="135" t="s">
        <v>1142</v>
      </c>
      <c r="B417" s="135" t="s">
        <v>1895</v>
      </c>
      <c r="C417" s="135" t="s">
        <v>1126</v>
      </c>
      <c r="D417" s="135" t="s">
        <v>477</v>
      </c>
    </row>
    <row r="418" spans="1:4">
      <c r="A418" s="135" t="s">
        <v>1143</v>
      </c>
      <c r="B418" s="135" t="s">
        <v>1895</v>
      </c>
      <c r="C418" s="135" t="s">
        <v>1126</v>
      </c>
      <c r="D418" s="135" t="s">
        <v>478</v>
      </c>
    </row>
    <row r="419" spans="1:4">
      <c r="A419" s="135" t="s">
        <v>1122</v>
      </c>
      <c r="B419" s="135" t="s">
        <v>1895</v>
      </c>
      <c r="C419" s="135" t="s">
        <v>1126</v>
      </c>
      <c r="D419" s="135" t="s">
        <v>478</v>
      </c>
    </row>
    <row r="420" spans="1:4">
      <c r="A420" s="135" t="s">
        <v>1105</v>
      </c>
      <c r="B420" s="135" t="s">
        <v>1895</v>
      </c>
      <c r="C420" s="135" t="s">
        <v>335</v>
      </c>
      <c r="D420" s="135" t="s">
        <v>478</v>
      </c>
    </row>
    <row r="421" spans="1:4">
      <c r="A421" s="135" t="s">
        <v>1144</v>
      </c>
      <c r="B421" s="135" t="s">
        <v>1895</v>
      </c>
      <c r="C421" s="135" t="s">
        <v>1126</v>
      </c>
      <c r="D421" s="135" t="s">
        <v>478</v>
      </c>
    </row>
    <row r="422" spans="1:4">
      <c r="A422" s="135" t="s">
        <v>1145</v>
      </c>
      <c r="B422" s="135" t="s">
        <v>1895</v>
      </c>
      <c r="C422" s="135" t="s">
        <v>335</v>
      </c>
      <c r="D422" s="135" t="s">
        <v>478</v>
      </c>
    </row>
    <row r="423" spans="1:4">
      <c r="A423" s="135" t="s">
        <v>1146</v>
      </c>
      <c r="B423" s="135" t="s">
        <v>1895</v>
      </c>
      <c r="C423" s="135" t="s">
        <v>1126</v>
      </c>
      <c r="D423" s="135" t="s">
        <v>478</v>
      </c>
    </row>
    <row r="424" spans="1:4">
      <c r="A424" s="135" t="s">
        <v>1147</v>
      </c>
      <c r="B424" s="135" t="s">
        <v>1895</v>
      </c>
      <c r="C424" s="135" t="s">
        <v>1126</v>
      </c>
      <c r="D424" s="135" t="s">
        <v>478</v>
      </c>
    </row>
    <row r="425" spans="1:4">
      <c r="A425" s="135" t="s">
        <v>1148</v>
      </c>
      <c r="B425" s="135" t="s">
        <v>1895</v>
      </c>
      <c r="C425" s="135" t="s">
        <v>335</v>
      </c>
      <c r="D425" s="135" t="s">
        <v>478</v>
      </c>
    </row>
    <row r="426" spans="1:4">
      <c r="A426" s="135" t="s">
        <v>1103</v>
      </c>
      <c r="B426" s="135" t="s">
        <v>1895</v>
      </c>
      <c r="C426" s="135" t="s">
        <v>335</v>
      </c>
      <c r="D426" s="135" t="s">
        <v>478</v>
      </c>
    </row>
    <row r="427" spans="1:4">
      <c r="A427" s="135" t="s">
        <v>1149</v>
      </c>
      <c r="B427" s="135" t="s">
        <v>1895</v>
      </c>
      <c r="C427" s="135" t="s">
        <v>335</v>
      </c>
      <c r="D427" s="135" t="s">
        <v>478</v>
      </c>
    </row>
    <row r="428" spans="1:4">
      <c r="A428" s="135" t="s">
        <v>1150</v>
      </c>
      <c r="B428" s="135" t="s">
        <v>1895</v>
      </c>
      <c r="C428" s="135" t="s">
        <v>1126</v>
      </c>
      <c r="D428" s="135" t="s">
        <v>478</v>
      </c>
    </row>
    <row r="429" spans="1:4">
      <c r="A429" s="135" t="s">
        <v>1151</v>
      </c>
      <c r="B429" s="135" t="s">
        <v>1895</v>
      </c>
      <c r="C429" s="135" t="s">
        <v>1126</v>
      </c>
      <c r="D429" s="135" t="s">
        <v>478</v>
      </c>
    </row>
    <row r="430" spans="1:4">
      <c r="A430" s="135" t="s">
        <v>1152</v>
      </c>
      <c r="B430" s="135" t="s">
        <v>1895</v>
      </c>
      <c r="C430" s="135" t="s">
        <v>335</v>
      </c>
      <c r="D430" s="135" t="s">
        <v>474</v>
      </c>
    </row>
    <row r="431" spans="1:4">
      <c r="A431" s="135" t="s">
        <v>1153</v>
      </c>
      <c r="B431" s="135" t="s">
        <v>1895</v>
      </c>
      <c r="C431" s="135" t="s">
        <v>335</v>
      </c>
      <c r="D431" s="135" t="s">
        <v>474</v>
      </c>
    </row>
    <row r="432" spans="1:4">
      <c r="A432" s="135" t="s">
        <v>1154</v>
      </c>
      <c r="B432" s="135" t="s">
        <v>1895</v>
      </c>
      <c r="C432" s="135" t="s">
        <v>335</v>
      </c>
      <c r="D432" s="135" t="s">
        <v>165</v>
      </c>
    </row>
    <row r="433" spans="1:4">
      <c r="A433" s="135" t="s">
        <v>1155</v>
      </c>
      <c r="B433" s="135" t="s">
        <v>1895</v>
      </c>
      <c r="C433" s="135" t="s">
        <v>335</v>
      </c>
      <c r="D433" s="135" t="s">
        <v>474</v>
      </c>
    </row>
    <row r="434" spans="1:4">
      <c r="A434" s="135" t="s">
        <v>1156</v>
      </c>
      <c r="B434" s="135" t="s">
        <v>1895</v>
      </c>
      <c r="C434" s="135" t="s">
        <v>335</v>
      </c>
      <c r="D434" s="135" t="s">
        <v>474</v>
      </c>
    </row>
    <row r="435" spans="1:4">
      <c r="A435" s="135" t="s">
        <v>50</v>
      </c>
      <c r="B435" s="135" t="s">
        <v>1895</v>
      </c>
      <c r="C435" s="135" t="s">
        <v>359</v>
      </c>
      <c r="D435" s="135" t="s">
        <v>165</v>
      </c>
    </row>
    <row r="436" spans="1:4">
      <c r="A436" s="135" t="s">
        <v>632</v>
      </c>
      <c r="B436" s="135" t="s">
        <v>1895</v>
      </c>
      <c r="C436" s="135" t="s">
        <v>359</v>
      </c>
      <c r="D436" s="135" t="s">
        <v>165</v>
      </c>
    </row>
    <row r="437" spans="1:4">
      <c r="A437" s="135" t="s">
        <v>1157</v>
      </c>
      <c r="B437" s="135" t="s">
        <v>1895</v>
      </c>
      <c r="C437" s="135" t="s">
        <v>359</v>
      </c>
      <c r="D437" s="135" t="s">
        <v>165</v>
      </c>
    </row>
    <row r="438" spans="1:4">
      <c r="A438" s="135" t="s">
        <v>1074</v>
      </c>
      <c r="B438" s="135" t="s">
        <v>1895</v>
      </c>
      <c r="C438" s="135" t="s">
        <v>359</v>
      </c>
      <c r="D438" s="135" t="s">
        <v>165</v>
      </c>
    </row>
    <row r="439" spans="1:4">
      <c r="A439" s="135" t="s">
        <v>1158</v>
      </c>
      <c r="B439" s="135" t="s">
        <v>1895</v>
      </c>
      <c r="C439" s="135" t="s">
        <v>359</v>
      </c>
      <c r="D439" s="135" t="s">
        <v>165</v>
      </c>
    </row>
    <row r="440" spans="1:4">
      <c r="A440" s="135" t="s">
        <v>1159</v>
      </c>
      <c r="B440" s="135" t="s">
        <v>1895</v>
      </c>
      <c r="C440" s="135" t="s">
        <v>359</v>
      </c>
      <c r="D440" s="135" t="s">
        <v>165</v>
      </c>
    </row>
    <row r="441" spans="1:4">
      <c r="A441" s="135" t="s">
        <v>1160</v>
      </c>
      <c r="B441" s="135" t="s">
        <v>1895</v>
      </c>
      <c r="C441" s="135" t="s">
        <v>455</v>
      </c>
      <c r="D441" s="135" t="s">
        <v>279</v>
      </c>
    </row>
    <row r="442" spans="1:4">
      <c r="A442" s="135" t="s">
        <v>1161</v>
      </c>
      <c r="B442" s="135" t="s">
        <v>1895</v>
      </c>
      <c r="C442" s="135" t="s">
        <v>278</v>
      </c>
      <c r="D442" s="135" t="s">
        <v>46</v>
      </c>
    </row>
    <row r="443" spans="1:4">
      <c r="A443" s="135" t="s">
        <v>1162</v>
      </c>
      <c r="B443" s="135" t="s">
        <v>1895</v>
      </c>
      <c r="C443" s="135" t="s">
        <v>455</v>
      </c>
      <c r="D443" s="135" t="s">
        <v>310</v>
      </c>
    </row>
    <row r="444" spans="1:4">
      <c r="A444" s="135" t="s">
        <v>1106</v>
      </c>
      <c r="B444" s="135" t="s">
        <v>1895</v>
      </c>
      <c r="C444" s="135" t="s">
        <v>455</v>
      </c>
      <c r="D444" s="135" t="s">
        <v>310</v>
      </c>
    </row>
    <row r="445" spans="1:4">
      <c r="A445" s="135" t="s">
        <v>1163</v>
      </c>
      <c r="B445" s="135" t="s">
        <v>1895</v>
      </c>
      <c r="C445" s="135" t="s">
        <v>455</v>
      </c>
      <c r="D445" s="135" t="s">
        <v>306</v>
      </c>
    </row>
    <row r="446" spans="1:4">
      <c r="A446" s="135" t="s">
        <v>1164</v>
      </c>
      <c r="B446" s="135" t="s">
        <v>1895</v>
      </c>
      <c r="C446" s="135" t="s">
        <v>278</v>
      </c>
      <c r="D446" s="135" t="s">
        <v>147</v>
      </c>
    </row>
    <row r="447" spans="1:4">
      <c r="A447" s="135" t="s">
        <v>1165</v>
      </c>
      <c r="B447" s="135" t="s">
        <v>1895</v>
      </c>
      <c r="C447" s="135" t="s">
        <v>335</v>
      </c>
      <c r="D447" s="135" t="s">
        <v>279</v>
      </c>
    </row>
    <row r="448" spans="1:4">
      <c r="A448" s="135" t="s">
        <v>1166</v>
      </c>
      <c r="B448" s="135" t="s">
        <v>1895</v>
      </c>
      <c r="C448" s="135" t="s">
        <v>380</v>
      </c>
      <c r="D448" s="135" t="s">
        <v>46</v>
      </c>
    </row>
    <row r="449" spans="1:4">
      <c r="A449" s="135" t="s">
        <v>1099</v>
      </c>
      <c r="B449" s="135" t="s">
        <v>1895</v>
      </c>
      <c r="C449" s="135" t="s">
        <v>455</v>
      </c>
      <c r="D449" s="135" t="s">
        <v>279</v>
      </c>
    </row>
    <row r="450" spans="1:4">
      <c r="A450" s="135" t="s">
        <v>1167</v>
      </c>
      <c r="B450" s="135" t="s">
        <v>1895</v>
      </c>
      <c r="C450" s="135" t="s">
        <v>335</v>
      </c>
      <c r="D450" s="135" t="s">
        <v>527</v>
      </c>
    </row>
    <row r="451" spans="1:4">
      <c r="A451" s="135" t="s">
        <v>1168</v>
      </c>
      <c r="B451" s="135" t="s">
        <v>1895</v>
      </c>
      <c r="C451" s="135" t="s">
        <v>335</v>
      </c>
      <c r="D451" s="135" t="s">
        <v>279</v>
      </c>
    </row>
    <row r="452" spans="1:4">
      <c r="A452" s="135" t="s">
        <v>1169</v>
      </c>
      <c r="B452" s="135" t="s">
        <v>1895</v>
      </c>
      <c r="C452" s="135" t="s">
        <v>335</v>
      </c>
      <c r="D452" s="135" t="s">
        <v>474</v>
      </c>
    </row>
    <row r="453" spans="1:4">
      <c r="A453" s="135" t="s">
        <v>1095</v>
      </c>
      <c r="B453" s="135" t="s">
        <v>1895</v>
      </c>
      <c r="C453" s="135" t="s">
        <v>335</v>
      </c>
      <c r="D453" s="135" t="s">
        <v>279</v>
      </c>
    </row>
    <row r="454" spans="1:4">
      <c r="A454" s="135" t="s">
        <v>1170</v>
      </c>
      <c r="B454" s="135" t="s">
        <v>1895</v>
      </c>
      <c r="C454" s="135" t="s">
        <v>1126</v>
      </c>
      <c r="D454" s="135" t="s">
        <v>141</v>
      </c>
    </row>
    <row r="455" spans="1:4">
      <c r="A455" s="135" t="s">
        <v>1706</v>
      </c>
      <c r="B455" s="135" t="s">
        <v>1894</v>
      </c>
      <c r="C455" s="135" t="s">
        <v>1039</v>
      </c>
      <c r="D455" s="135" t="s">
        <v>587</v>
      </c>
    </row>
  </sheetData>
  <conditionalFormatting sqref="A1:D1">
    <cfRule type="duplicateValues" dxfId="1" priority="1"/>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455"/>
  <sheetViews>
    <sheetView workbookViewId="0">
      <pane ySplit="1" topLeftCell="A424" activePane="bottomLeft" state="frozen"/>
      <selection pane="bottomLeft" activeCell="F441" sqref="F441"/>
    </sheetView>
  </sheetViews>
  <sheetFormatPr defaultColWidth="9" defaultRowHeight="14.5"/>
  <cols>
    <col min="1" max="1" width="16.1796875" customWidth="1"/>
    <col min="2" max="2" width="12.7265625" customWidth="1"/>
    <col min="3" max="3" width="36.81640625" customWidth="1"/>
    <col min="4" max="4" width="16.7265625" customWidth="1"/>
  </cols>
  <sheetData>
    <row r="1" spans="1:4" ht="15.5">
      <c r="A1" s="45" t="s">
        <v>273</v>
      </c>
      <c r="B1" s="45" t="s">
        <v>274</v>
      </c>
      <c r="C1" s="45" t="s">
        <v>5</v>
      </c>
      <c r="D1" s="45" t="s">
        <v>275</v>
      </c>
    </row>
    <row r="2" spans="1:4">
      <c r="A2" s="46" t="s">
        <v>584</v>
      </c>
      <c r="B2" s="106" t="s">
        <v>585</v>
      </c>
      <c r="C2" s="46" t="s">
        <v>278</v>
      </c>
      <c r="D2" s="46" t="s">
        <v>586</v>
      </c>
    </row>
    <row r="3" spans="1:4">
      <c r="A3" s="46" t="s">
        <v>96</v>
      </c>
      <c r="B3" s="106" t="s">
        <v>585</v>
      </c>
      <c r="C3" s="46" t="s">
        <v>278</v>
      </c>
      <c r="D3" s="46" t="s">
        <v>586</v>
      </c>
    </row>
    <row r="4" spans="1:4">
      <c r="A4" s="46" t="s">
        <v>58</v>
      </c>
      <c r="B4" s="106" t="s">
        <v>585</v>
      </c>
      <c r="C4" s="46" t="s">
        <v>278</v>
      </c>
      <c r="D4" s="46" t="s">
        <v>587</v>
      </c>
    </row>
    <row r="5" spans="1:4">
      <c r="A5" s="46" t="s">
        <v>68</v>
      </c>
      <c r="B5" s="106" t="s">
        <v>585</v>
      </c>
      <c r="C5" s="46" t="s">
        <v>278</v>
      </c>
      <c r="D5" s="46" t="s">
        <v>587</v>
      </c>
    </row>
    <row r="6" spans="1:4">
      <c r="A6" s="46" t="s">
        <v>588</v>
      </c>
      <c r="B6" s="106" t="s">
        <v>585</v>
      </c>
      <c r="C6" s="46" t="s">
        <v>278</v>
      </c>
      <c r="D6" s="46" t="s">
        <v>587</v>
      </c>
    </row>
    <row r="7" spans="1:4">
      <c r="A7" s="46" t="s">
        <v>589</v>
      </c>
      <c r="B7" s="106" t="s">
        <v>585</v>
      </c>
      <c r="C7" s="46" t="s">
        <v>278</v>
      </c>
      <c r="D7" s="46" t="s">
        <v>586</v>
      </c>
    </row>
    <row r="8" spans="1:4">
      <c r="A8" s="46" t="s">
        <v>590</v>
      </c>
      <c r="B8" s="106" t="s">
        <v>585</v>
      </c>
      <c r="C8" s="46" t="s">
        <v>278</v>
      </c>
      <c r="D8" s="46" t="s">
        <v>587</v>
      </c>
    </row>
    <row r="9" spans="1:4">
      <c r="A9" s="46" t="s">
        <v>98</v>
      </c>
      <c r="B9" s="106" t="s">
        <v>585</v>
      </c>
      <c r="C9" s="46" t="s">
        <v>278</v>
      </c>
      <c r="D9" s="46" t="s">
        <v>587</v>
      </c>
    </row>
    <row r="10" spans="1:4">
      <c r="A10" s="46" t="s">
        <v>591</v>
      </c>
      <c r="B10" s="106" t="s">
        <v>585</v>
      </c>
      <c r="C10" s="46" t="s">
        <v>278</v>
      </c>
      <c r="D10" s="46" t="s">
        <v>592</v>
      </c>
    </row>
    <row r="11" spans="1:4">
      <c r="A11" s="46" t="s">
        <v>593</v>
      </c>
      <c r="B11" s="106" t="s">
        <v>585</v>
      </c>
      <c r="C11" s="46" t="s">
        <v>278</v>
      </c>
      <c r="D11" s="46" t="s">
        <v>592</v>
      </c>
    </row>
    <row r="12" spans="1:4">
      <c r="A12" s="46" t="s">
        <v>595</v>
      </c>
      <c r="B12" s="106" t="s">
        <v>585</v>
      </c>
      <c r="C12" s="46" t="s">
        <v>278</v>
      </c>
      <c r="D12" s="46" t="s">
        <v>587</v>
      </c>
    </row>
    <row r="13" spans="1:4">
      <c r="A13" s="46" t="s">
        <v>101</v>
      </c>
      <c r="B13" s="106" t="s">
        <v>585</v>
      </c>
      <c r="C13" s="46" t="s">
        <v>278</v>
      </c>
      <c r="D13" s="46" t="s">
        <v>587</v>
      </c>
    </row>
    <row r="14" spans="1:4">
      <c r="A14" s="46" t="s">
        <v>596</v>
      </c>
      <c r="B14" s="106" t="s">
        <v>585</v>
      </c>
      <c r="C14" s="46" t="s">
        <v>278</v>
      </c>
      <c r="D14" s="46" t="s">
        <v>592</v>
      </c>
    </row>
    <row r="15" spans="1:4">
      <c r="A15" s="46" t="s">
        <v>597</v>
      </c>
      <c r="B15" s="106" t="s">
        <v>585</v>
      </c>
      <c r="C15" s="46" t="s">
        <v>278</v>
      </c>
      <c r="D15" s="46" t="s">
        <v>592</v>
      </c>
    </row>
    <row r="16" spans="1:4">
      <c r="A16" s="46" t="s">
        <v>598</v>
      </c>
      <c r="B16" s="106" t="s">
        <v>585</v>
      </c>
      <c r="C16" s="46" t="s">
        <v>278</v>
      </c>
      <c r="D16" s="46" t="s">
        <v>587</v>
      </c>
    </row>
    <row r="17" spans="1:4">
      <c r="A17" s="46" t="s">
        <v>67</v>
      </c>
      <c r="B17" s="106" t="s">
        <v>585</v>
      </c>
      <c r="C17" s="46" t="s">
        <v>278</v>
      </c>
      <c r="D17" s="46" t="s">
        <v>592</v>
      </c>
    </row>
    <row r="18" spans="1:4">
      <c r="A18" s="46" t="s">
        <v>599</v>
      </c>
      <c r="B18" s="106" t="s">
        <v>585</v>
      </c>
      <c r="C18" s="46" t="s">
        <v>278</v>
      </c>
      <c r="D18" s="46" t="s">
        <v>592</v>
      </c>
    </row>
    <row r="19" spans="1:4">
      <c r="A19" s="46" t="s">
        <v>59</v>
      </c>
      <c r="B19" s="106" t="s">
        <v>585</v>
      </c>
      <c r="C19" s="46" t="s">
        <v>278</v>
      </c>
      <c r="D19" s="46" t="s">
        <v>592</v>
      </c>
    </row>
    <row r="20" spans="1:4">
      <c r="A20" s="46" t="s">
        <v>600</v>
      </c>
      <c r="B20" s="106" t="s">
        <v>585</v>
      </c>
      <c r="C20" s="46" t="s">
        <v>335</v>
      </c>
      <c r="D20" s="46" t="s">
        <v>586</v>
      </c>
    </row>
    <row r="21" spans="1:4">
      <c r="A21" s="46" t="s">
        <v>601</v>
      </c>
      <c r="B21" s="106" t="s">
        <v>585</v>
      </c>
      <c r="C21" s="46" t="s">
        <v>335</v>
      </c>
      <c r="D21" s="46" t="s">
        <v>586</v>
      </c>
    </row>
    <row r="22" spans="1:4">
      <c r="A22" s="46" t="s">
        <v>602</v>
      </c>
      <c r="B22" s="106" t="s">
        <v>585</v>
      </c>
      <c r="C22" s="46" t="s">
        <v>335</v>
      </c>
      <c r="D22" s="46" t="s">
        <v>615</v>
      </c>
    </row>
    <row r="23" spans="1:4">
      <c r="A23" s="46" t="s">
        <v>603</v>
      </c>
      <c r="B23" s="106" t="s">
        <v>585</v>
      </c>
      <c r="C23" s="46" t="s">
        <v>335</v>
      </c>
      <c r="D23" s="46" t="s">
        <v>615</v>
      </c>
    </row>
    <row r="24" spans="1:4">
      <c r="A24" s="46" t="s">
        <v>604</v>
      </c>
      <c r="B24" s="106" t="s">
        <v>585</v>
      </c>
      <c r="C24" s="46" t="s">
        <v>335</v>
      </c>
      <c r="D24" s="46" t="s">
        <v>586</v>
      </c>
    </row>
    <row r="25" spans="1:4">
      <c r="A25" s="46" t="s">
        <v>605</v>
      </c>
      <c r="B25" s="106" t="s">
        <v>585</v>
      </c>
      <c r="C25" s="46" t="s">
        <v>278</v>
      </c>
      <c r="D25" s="46" t="s">
        <v>587</v>
      </c>
    </row>
    <row r="26" spans="1:4">
      <c r="A26" s="46" t="s">
        <v>606</v>
      </c>
      <c r="B26" s="106" t="s">
        <v>585</v>
      </c>
      <c r="C26" s="46" t="s">
        <v>278</v>
      </c>
      <c r="D26" s="46" t="s">
        <v>587</v>
      </c>
    </row>
    <row r="27" spans="1:4">
      <c r="A27" s="46" t="s">
        <v>31</v>
      </c>
      <c r="B27" s="106" t="s">
        <v>585</v>
      </c>
      <c r="C27" s="46" t="s">
        <v>278</v>
      </c>
      <c r="D27" s="46" t="s">
        <v>592</v>
      </c>
    </row>
    <row r="28" spans="1:4">
      <c r="A28" s="46" t="s">
        <v>55</v>
      </c>
      <c r="B28" s="106" t="s">
        <v>585</v>
      </c>
      <c r="C28" s="46" t="s">
        <v>278</v>
      </c>
      <c r="D28" s="46" t="s">
        <v>587</v>
      </c>
    </row>
    <row r="29" spans="1:4">
      <c r="A29" s="46" t="s">
        <v>607</v>
      </c>
      <c r="B29" s="106" t="s">
        <v>585</v>
      </c>
      <c r="C29" s="46" t="s">
        <v>335</v>
      </c>
      <c r="D29" s="46" t="s">
        <v>592</v>
      </c>
    </row>
    <row r="30" spans="1:4">
      <c r="A30" s="46" t="s">
        <v>608</v>
      </c>
      <c r="B30" s="106" t="s">
        <v>585</v>
      </c>
      <c r="C30" s="46" t="s">
        <v>335</v>
      </c>
      <c r="D30" s="46" t="s">
        <v>587</v>
      </c>
    </row>
    <row r="31" spans="1:4">
      <c r="A31" s="46" t="s">
        <v>609</v>
      </c>
      <c r="B31" s="106" t="s">
        <v>585</v>
      </c>
      <c r="C31" s="46" t="s">
        <v>335</v>
      </c>
      <c r="D31" s="46" t="s">
        <v>592</v>
      </c>
    </row>
    <row r="32" spans="1:4">
      <c r="A32" s="46" t="s">
        <v>610</v>
      </c>
      <c r="B32" s="106" t="s">
        <v>585</v>
      </c>
      <c r="C32" s="46" t="s">
        <v>335</v>
      </c>
      <c r="D32" s="46" t="s">
        <v>587</v>
      </c>
    </row>
    <row r="33" spans="1:4">
      <c r="A33" s="46" t="s">
        <v>611</v>
      </c>
      <c r="B33" s="106" t="s">
        <v>585</v>
      </c>
      <c r="C33" s="46" t="s">
        <v>617</v>
      </c>
      <c r="D33" s="46" t="s">
        <v>592</v>
      </c>
    </row>
    <row r="34" spans="1:4">
      <c r="A34" s="46" t="s">
        <v>74</v>
      </c>
      <c r="B34" s="106" t="s">
        <v>585</v>
      </c>
      <c r="C34" s="46" t="s">
        <v>278</v>
      </c>
      <c r="D34" s="46" t="s">
        <v>587</v>
      </c>
    </row>
    <row r="35" spans="1:4">
      <c r="A35" s="46" t="s">
        <v>612</v>
      </c>
      <c r="B35" s="106" t="s">
        <v>585</v>
      </c>
      <c r="C35" s="46" t="s">
        <v>278</v>
      </c>
      <c r="D35" s="46" t="s">
        <v>587</v>
      </c>
    </row>
    <row r="36" spans="1:4">
      <c r="A36" s="46" t="s">
        <v>99</v>
      </c>
      <c r="B36" s="106" t="s">
        <v>585</v>
      </c>
      <c r="C36" s="46" t="s">
        <v>278</v>
      </c>
      <c r="D36" s="46" t="s">
        <v>587</v>
      </c>
    </row>
    <row r="37" spans="1:4">
      <c r="A37" s="46" t="s">
        <v>613</v>
      </c>
      <c r="B37" s="106" t="s">
        <v>585</v>
      </c>
      <c r="C37" s="46" t="s">
        <v>335</v>
      </c>
      <c r="D37" s="46" t="s">
        <v>592</v>
      </c>
    </row>
    <row r="38" spans="1:4">
      <c r="A38" s="46" t="s">
        <v>614</v>
      </c>
      <c r="B38" s="106" t="s">
        <v>585</v>
      </c>
      <c r="C38" s="46" t="s">
        <v>335</v>
      </c>
      <c r="D38" s="46" t="s">
        <v>615</v>
      </c>
    </row>
    <row r="39" spans="1:4">
      <c r="A39" s="46" t="s">
        <v>616</v>
      </c>
      <c r="B39" s="106" t="s">
        <v>585</v>
      </c>
      <c r="C39" s="46" t="s">
        <v>335</v>
      </c>
      <c r="D39" s="46" t="s">
        <v>592</v>
      </c>
    </row>
    <row r="40" spans="1:4">
      <c r="A40" s="46" t="s">
        <v>105</v>
      </c>
      <c r="B40" s="106" t="s">
        <v>585</v>
      </c>
      <c r="C40" s="46" t="s">
        <v>335</v>
      </c>
      <c r="D40" s="46" t="s">
        <v>587</v>
      </c>
    </row>
    <row r="41" spans="1:4">
      <c r="A41" s="46" t="s">
        <v>65</v>
      </c>
      <c r="B41" s="106" t="s">
        <v>585</v>
      </c>
      <c r="C41" s="46" t="s">
        <v>335</v>
      </c>
      <c r="D41" s="46" t="s">
        <v>587</v>
      </c>
    </row>
    <row r="42" spans="1:4">
      <c r="A42" s="46" t="s">
        <v>73</v>
      </c>
      <c r="B42" s="106" t="s">
        <v>585</v>
      </c>
      <c r="C42" s="46" t="s">
        <v>617</v>
      </c>
      <c r="D42" s="46" t="s">
        <v>592</v>
      </c>
    </row>
    <row r="43" spans="1:4">
      <c r="A43" s="46" t="s">
        <v>618</v>
      </c>
      <c r="B43" s="106" t="s">
        <v>585</v>
      </c>
      <c r="C43" s="46" t="s">
        <v>335</v>
      </c>
      <c r="D43" s="46" t="s">
        <v>615</v>
      </c>
    </row>
    <row r="44" spans="1:4">
      <c r="A44" s="46" t="s">
        <v>88</v>
      </c>
      <c r="B44" s="106" t="s">
        <v>585</v>
      </c>
      <c r="C44" s="46" t="s">
        <v>335</v>
      </c>
      <c r="D44" s="46" t="s">
        <v>586</v>
      </c>
    </row>
    <row r="45" spans="1:4">
      <c r="A45" s="46" t="s">
        <v>619</v>
      </c>
      <c r="B45" s="106" t="s">
        <v>585</v>
      </c>
      <c r="C45" s="46" t="s">
        <v>617</v>
      </c>
      <c r="D45" s="46" t="s">
        <v>587</v>
      </c>
    </row>
    <row r="46" spans="1:4">
      <c r="A46" s="46" t="s">
        <v>620</v>
      </c>
      <c r="B46" s="106" t="s">
        <v>585</v>
      </c>
      <c r="C46" s="46" t="s">
        <v>335</v>
      </c>
      <c r="D46" s="46" t="s">
        <v>587</v>
      </c>
    </row>
    <row r="47" spans="1:4">
      <c r="A47" s="46" t="s">
        <v>621</v>
      </c>
      <c r="B47" s="106" t="s">
        <v>585</v>
      </c>
      <c r="C47" s="46" t="s">
        <v>278</v>
      </c>
      <c r="D47" s="46" t="s">
        <v>586</v>
      </c>
    </row>
    <row r="48" spans="1:4">
      <c r="A48" s="46" t="s">
        <v>622</v>
      </c>
      <c r="B48" s="106" t="s">
        <v>585</v>
      </c>
      <c r="C48" s="46" t="s">
        <v>278</v>
      </c>
      <c r="D48" s="77" t="s">
        <v>615</v>
      </c>
    </row>
    <row r="49" spans="1:4">
      <c r="A49" s="46" t="s">
        <v>623</v>
      </c>
      <c r="B49" s="106" t="s">
        <v>585</v>
      </c>
      <c r="C49" s="46" t="s">
        <v>278</v>
      </c>
      <c r="D49" s="46" t="s">
        <v>586</v>
      </c>
    </row>
    <row r="50" spans="1:4">
      <c r="A50" s="46" t="s">
        <v>624</v>
      </c>
      <c r="B50" s="106" t="s">
        <v>585</v>
      </c>
      <c r="C50" s="46" t="s">
        <v>278</v>
      </c>
      <c r="D50" s="46" t="s">
        <v>586</v>
      </c>
    </row>
    <row r="51" spans="1:4">
      <c r="A51" s="46" t="s">
        <v>625</v>
      </c>
      <c r="B51" s="106" t="s">
        <v>585</v>
      </c>
      <c r="C51" s="46" t="s">
        <v>278</v>
      </c>
      <c r="D51" s="46" t="s">
        <v>586</v>
      </c>
    </row>
    <row r="52" spans="1:4">
      <c r="A52" s="46" t="s">
        <v>35</v>
      </c>
      <c r="B52" s="106" t="s">
        <v>585</v>
      </c>
      <c r="C52" s="46" t="s">
        <v>617</v>
      </c>
      <c r="D52" s="46" t="s">
        <v>587</v>
      </c>
    </row>
    <row r="53" spans="1:4">
      <c r="A53" s="46" t="s">
        <v>626</v>
      </c>
      <c r="B53" s="106" t="s">
        <v>585</v>
      </c>
      <c r="C53" s="46" t="s">
        <v>1125</v>
      </c>
      <c r="D53" s="97" t="s">
        <v>586</v>
      </c>
    </row>
    <row r="54" spans="1:4">
      <c r="A54" s="46" t="s">
        <v>627</v>
      </c>
      <c r="B54" s="106" t="s">
        <v>585</v>
      </c>
      <c r="C54" s="46" t="s">
        <v>617</v>
      </c>
      <c r="D54" s="46" t="s">
        <v>592</v>
      </c>
    </row>
    <row r="55" spans="1:4">
      <c r="A55" s="46" t="s">
        <v>628</v>
      </c>
      <c r="B55" s="106" t="s">
        <v>585</v>
      </c>
      <c r="C55" s="46" t="s">
        <v>1039</v>
      </c>
      <c r="D55" s="76" t="s">
        <v>586</v>
      </c>
    </row>
    <row r="56" spans="1:4">
      <c r="A56" s="46" t="s">
        <v>629</v>
      </c>
      <c r="B56" s="106" t="s">
        <v>585</v>
      </c>
      <c r="C56" s="46" t="s">
        <v>1125</v>
      </c>
      <c r="D56" s="46" t="s">
        <v>615</v>
      </c>
    </row>
    <row r="57" spans="1:4">
      <c r="A57" s="46" t="s">
        <v>45</v>
      </c>
      <c r="B57" s="106" t="s">
        <v>585</v>
      </c>
      <c r="C57" s="46" t="s">
        <v>1039</v>
      </c>
      <c r="D57" s="46" t="s">
        <v>592</v>
      </c>
    </row>
    <row r="58" spans="1:4">
      <c r="A58" s="46" t="s">
        <v>37</v>
      </c>
      <c r="B58" s="106" t="s">
        <v>585</v>
      </c>
      <c r="C58" s="46" t="s">
        <v>1039</v>
      </c>
      <c r="D58" s="46" t="s">
        <v>592</v>
      </c>
    </row>
    <row r="59" spans="1:4">
      <c r="A59" s="46" t="s">
        <v>94</v>
      </c>
      <c r="B59" s="106" t="s">
        <v>585</v>
      </c>
      <c r="C59" s="46" t="s">
        <v>1039</v>
      </c>
      <c r="D59" s="46" t="s">
        <v>587</v>
      </c>
    </row>
    <row r="60" spans="1:4">
      <c r="A60" s="46" t="s">
        <v>100</v>
      </c>
      <c r="B60" s="106" t="s">
        <v>585</v>
      </c>
      <c r="C60" s="46" t="s">
        <v>1039</v>
      </c>
      <c r="D60" s="46" t="s">
        <v>586</v>
      </c>
    </row>
    <row r="61" spans="1:4">
      <c r="A61" s="46" t="s">
        <v>22</v>
      </c>
      <c r="B61" s="106" t="s">
        <v>585</v>
      </c>
      <c r="C61" s="46" t="s">
        <v>278</v>
      </c>
      <c r="D61" s="46" t="s">
        <v>586</v>
      </c>
    </row>
    <row r="62" spans="1:4">
      <c r="A62" s="46" t="s">
        <v>630</v>
      </c>
      <c r="B62" s="106" t="s">
        <v>585</v>
      </c>
      <c r="C62" s="46" t="s">
        <v>335</v>
      </c>
      <c r="D62" s="46" t="s">
        <v>586</v>
      </c>
    </row>
    <row r="63" spans="1:4">
      <c r="A63" s="46" t="s">
        <v>631</v>
      </c>
      <c r="B63" s="106" t="s">
        <v>585</v>
      </c>
      <c r="C63" s="46" t="s">
        <v>335</v>
      </c>
      <c r="D63" s="46" t="s">
        <v>586</v>
      </c>
    </row>
    <row r="64" spans="1:4">
      <c r="A64" s="46" t="s">
        <v>1127</v>
      </c>
      <c r="B64" s="106" t="s">
        <v>585</v>
      </c>
      <c r="C64" s="46" t="s">
        <v>335</v>
      </c>
      <c r="D64" s="46" t="s">
        <v>586</v>
      </c>
    </row>
    <row r="65" spans="1:4">
      <c r="A65" s="46" t="s">
        <v>1038</v>
      </c>
      <c r="B65" s="106" t="s">
        <v>585</v>
      </c>
      <c r="C65" s="46" t="s">
        <v>1039</v>
      </c>
      <c r="D65" s="46" t="s">
        <v>587</v>
      </c>
    </row>
    <row r="66" spans="1:4">
      <c r="A66" s="46" t="s">
        <v>1113</v>
      </c>
      <c r="B66" s="106" t="s">
        <v>585</v>
      </c>
      <c r="C66" s="46" t="s">
        <v>1126</v>
      </c>
      <c r="D66" s="46" t="s">
        <v>592</v>
      </c>
    </row>
    <row r="67" spans="1:4">
      <c r="A67" s="46" t="s">
        <v>1128</v>
      </c>
      <c r="B67" s="106" t="s">
        <v>585</v>
      </c>
      <c r="C67" s="46" t="s">
        <v>1126</v>
      </c>
      <c r="D67" s="46" t="s">
        <v>592</v>
      </c>
    </row>
    <row r="68" spans="1:4">
      <c r="A68" s="46" t="s">
        <v>1107</v>
      </c>
      <c r="B68" s="106" t="s">
        <v>585</v>
      </c>
      <c r="C68" s="46" t="s">
        <v>1126</v>
      </c>
      <c r="D68" s="46" t="s">
        <v>586</v>
      </c>
    </row>
    <row r="69" spans="1:4">
      <c r="A69" s="46" t="s">
        <v>1129</v>
      </c>
      <c r="B69" s="106" t="s">
        <v>585</v>
      </c>
      <c r="C69" s="46" t="s">
        <v>1039</v>
      </c>
      <c r="D69" s="46" t="s">
        <v>586</v>
      </c>
    </row>
    <row r="70" spans="1:4">
      <c r="A70" s="46" t="s">
        <v>276</v>
      </c>
      <c r="B70" s="106" t="s">
        <v>277</v>
      </c>
      <c r="C70" s="46" t="s">
        <v>278</v>
      </c>
      <c r="D70" s="46" t="s">
        <v>279</v>
      </c>
    </row>
    <row r="71" spans="1:4">
      <c r="A71" s="46" t="s">
        <v>280</v>
      </c>
      <c r="B71" s="106" t="s">
        <v>277</v>
      </c>
      <c r="C71" s="46" t="s">
        <v>1126</v>
      </c>
      <c r="D71" s="46" t="s">
        <v>165</v>
      </c>
    </row>
    <row r="72" spans="1:4">
      <c r="A72" s="46" t="s">
        <v>281</v>
      </c>
      <c r="B72" s="106" t="s">
        <v>277</v>
      </c>
      <c r="C72" s="46" t="s">
        <v>1126</v>
      </c>
      <c r="D72" s="46" t="s">
        <v>125</v>
      </c>
    </row>
    <row r="73" spans="1:4">
      <c r="A73" s="46" t="s">
        <v>282</v>
      </c>
      <c r="B73" s="106" t="s">
        <v>277</v>
      </c>
      <c r="C73" s="46" t="s">
        <v>278</v>
      </c>
      <c r="D73" s="46" t="s">
        <v>141</v>
      </c>
    </row>
    <row r="74" spans="1:4">
      <c r="A74" s="46" t="s">
        <v>283</v>
      </c>
      <c r="B74" s="106" t="s">
        <v>277</v>
      </c>
      <c r="C74" s="46" t="s">
        <v>1126</v>
      </c>
      <c r="D74" s="46" t="s">
        <v>165</v>
      </c>
    </row>
    <row r="75" spans="1:4">
      <c r="A75" s="46" t="s">
        <v>284</v>
      </c>
      <c r="B75" s="106" t="s">
        <v>277</v>
      </c>
      <c r="C75" s="46" t="s">
        <v>1126</v>
      </c>
      <c r="D75" s="46" t="s">
        <v>165</v>
      </c>
    </row>
    <row r="76" spans="1:4">
      <c r="A76" s="46" t="s">
        <v>285</v>
      </c>
      <c r="B76" s="106" t="s">
        <v>277</v>
      </c>
      <c r="C76" s="46" t="s">
        <v>1126</v>
      </c>
      <c r="D76" s="46" t="s">
        <v>165</v>
      </c>
    </row>
    <row r="77" spans="1:4">
      <c r="A77" s="46" t="s">
        <v>286</v>
      </c>
      <c r="B77" s="106" t="s">
        <v>277</v>
      </c>
      <c r="C77" s="46" t="s">
        <v>1126</v>
      </c>
      <c r="D77" s="46" t="s">
        <v>165</v>
      </c>
    </row>
    <row r="78" spans="1:4">
      <c r="A78" s="46" t="s">
        <v>287</v>
      </c>
      <c r="B78" s="106" t="s">
        <v>277</v>
      </c>
      <c r="C78" s="46" t="s">
        <v>1126</v>
      </c>
      <c r="D78" s="46" t="s">
        <v>232</v>
      </c>
    </row>
    <row r="79" spans="1:4">
      <c r="A79" s="46" t="s">
        <v>288</v>
      </c>
      <c r="B79" s="106" t="s">
        <v>277</v>
      </c>
      <c r="C79" s="46" t="s">
        <v>1126</v>
      </c>
      <c r="D79" s="46" t="s">
        <v>165</v>
      </c>
    </row>
    <row r="80" spans="1:4">
      <c r="A80" s="46" t="s">
        <v>289</v>
      </c>
      <c r="B80" s="106" t="s">
        <v>277</v>
      </c>
      <c r="C80" s="46" t="s">
        <v>1126</v>
      </c>
      <c r="D80" s="46" t="s">
        <v>165</v>
      </c>
    </row>
    <row r="81" spans="1:4">
      <c r="A81" s="46" t="s">
        <v>290</v>
      </c>
      <c r="B81" s="106" t="s">
        <v>277</v>
      </c>
      <c r="C81" s="46" t="s">
        <v>1126</v>
      </c>
      <c r="D81" s="46" t="s">
        <v>165</v>
      </c>
    </row>
    <row r="82" spans="1:4">
      <c r="A82" s="46" t="s">
        <v>64</v>
      </c>
      <c r="B82" s="106" t="s">
        <v>277</v>
      </c>
      <c r="C82" s="46" t="s">
        <v>1126</v>
      </c>
      <c r="D82" s="46" t="s">
        <v>165</v>
      </c>
    </row>
    <row r="83" spans="1:4">
      <c r="A83" s="46" t="s">
        <v>291</v>
      </c>
      <c r="B83" s="106" t="s">
        <v>277</v>
      </c>
      <c r="C83" s="46" t="s">
        <v>278</v>
      </c>
      <c r="D83" s="46" t="s">
        <v>310</v>
      </c>
    </row>
    <row r="84" spans="1:4">
      <c r="A84" s="46" t="s">
        <v>293</v>
      </c>
      <c r="B84" s="106" t="s">
        <v>277</v>
      </c>
      <c r="C84" s="46" t="s">
        <v>1126</v>
      </c>
      <c r="D84" s="46" t="s">
        <v>294</v>
      </c>
    </row>
    <row r="85" spans="1:4">
      <c r="A85" s="46" t="s">
        <v>295</v>
      </c>
      <c r="B85" s="106" t="s">
        <v>277</v>
      </c>
      <c r="C85" s="46" t="s">
        <v>278</v>
      </c>
      <c r="D85" s="46" t="s">
        <v>147</v>
      </c>
    </row>
    <row r="86" spans="1:4">
      <c r="A86" s="46" t="s">
        <v>296</v>
      </c>
      <c r="B86" s="106" t="s">
        <v>277</v>
      </c>
      <c r="C86" s="46" t="s">
        <v>278</v>
      </c>
      <c r="D86" s="46" t="s">
        <v>46</v>
      </c>
    </row>
    <row r="87" spans="1:4">
      <c r="A87" s="46" t="s">
        <v>52</v>
      </c>
      <c r="B87" s="106" t="s">
        <v>277</v>
      </c>
      <c r="C87" s="46" t="s">
        <v>278</v>
      </c>
      <c r="D87" s="46" t="s">
        <v>46</v>
      </c>
    </row>
    <row r="88" spans="1:4">
      <c r="A88" s="46" t="s">
        <v>297</v>
      </c>
      <c r="B88" s="106" t="s">
        <v>277</v>
      </c>
      <c r="C88" s="46" t="s">
        <v>278</v>
      </c>
      <c r="D88" s="46" t="s">
        <v>46</v>
      </c>
    </row>
    <row r="89" spans="1:4">
      <c r="A89" s="46" t="s">
        <v>298</v>
      </c>
      <c r="B89" s="106" t="s">
        <v>277</v>
      </c>
      <c r="C89" s="46" t="s">
        <v>278</v>
      </c>
      <c r="D89" s="46" t="s">
        <v>292</v>
      </c>
    </row>
    <row r="90" spans="1:4">
      <c r="A90" s="46" t="s">
        <v>56</v>
      </c>
      <c r="B90" s="106" t="s">
        <v>277</v>
      </c>
      <c r="C90" s="46" t="s">
        <v>278</v>
      </c>
      <c r="D90" s="46" t="s">
        <v>279</v>
      </c>
    </row>
    <row r="91" spans="1:4">
      <c r="A91" s="46" t="s">
        <v>299</v>
      </c>
      <c r="B91" s="106" t="s">
        <v>277</v>
      </c>
      <c r="C91" s="46" t="s">
        <v>1126</v>
      </c>
      <c r="D91" s="46" t="s">
        <v>147</v>
      </c>
    </row>
    <row r="92" spans="1:4">
      <c r="A92" s="46" t="s">
        <v>301</v>
      </c>
      <c r="B92" s="106" t="s">
        <v>277</v>
      </c>
      <c r="C92" s="46" t="s">
        <v>278</v>
      </c>
      <c r="D92" s="46" t="s">
        <v>46</v>
      </c>
    </row>
    <row r="93" spans="1:4">
      <c r="A93" s="46" t="s">
        <v>302</v>
      </c>
      <c r="B93" s="106" t="s">
        <v>277</v>
      </c>
      <c r="C93" s="46" t="s">
        <v>1126</v>
      </c>
      <c r="D93" s="46" t="s">
        <v>292</v>
      </c>
    </row>
    <row r="94" spans="1:4">
      <c r="A94" s="46" t="s">
        <v>303</v>
      </c>
      <c r="B94" s="106" t="s">
        <v>277</v>
      </c>
      <c r="C94" s="46" t="s">
        <v>278</v>
      </c>
      <c r="D94" s="46" t="s">
        <v>46</v>
      </c>
    </row>
    <row r="95" spans="1:4">
      <c r="A95" s="46" t="s">
        <v>304</v>
      </c>
      <c r="B95" s="106" t="s">
        <v>277</v>
      </c>
      <c r="C95" s="46" t="s">
        <v>1126</v>
      </c>
      <c r="D95" s="46" t="s">
        <v>151</v>
      </c>
    </row>
    <row r="96" spans="1:4">
      <c r="A96" s="46" t="s">
        <v>305</v>
      </c>
      <c r="B96" s="106" t="s">
        <v>277</v>
      </c>
      <c r="C96" s="46" t="s">
        <v>278</v>
      </c>
      <c r="D96" s="46" t="s">
        <v>306</v>
      </c>
    </row>
    <row r="97" spans="1:4">
      <c r="A97" s="46" t="s">
        <v>307</v>
      </c>
      <c r="B97" s="106" t="s">
        <v>277</v>
      </c>
      <c r="C97" s="46" t="s">
        <v>278</v>
      </c>
      <c r="D97" s="46" t="s">
        <v>279</v>
      </c>
    </row>
    <row r="98" spans="1:4">
      <c r="A98" s="46" t="s">
        <v>308</v>
      </c>
      <c r="B98" s="106" t="s">
        <v>277</v>
      </c>
      <c r="C98" s="46" t="s">
        <v>1126</v>
      </c>
      <c r="D98" s="46" t="s">
        <v>125</v>
      </c>
    </row>
    <row r="99" spans="1:4">
      <c r="A99" s="46" t="s">
        <v>309</v>
      </c>
      <c r="B99" s="106" t="s">
        <v>277</v>
      </c>
      <c r="C99" s="46" t="s">
        <v>1126</v>
      </c>
      <c r="D99" s="46" t="s">
        <v>125</v>
      </c>
    </row>
    <row r="100" spans="1:4">
      <c r="A100" s="46" t="s">
        <v>53</v>
      </c>
      <c r="B100" s="106" t="s">
        <v>277</v>
      </c>
      <c r="C100" s="46" t="s">
        <v>1126</v>
      </c>
      <c r="D100" s="46" t="s">
        <v>125</v>
      </c>
    </row>
    <row r="101" spans="1:4">
      <c r="A101" s="46" t="s">
        <v>311</v>
      </c>
      <c r="B101" s="106" t="s">
        <v>277</v>
      </c>
      <c r="C101" s="46" t="s">
        <v>278</v>
      </c>
      <c r="D101" s="79" t="s">
        <v>279</v>
      </c>
    </row>
    <row r="102" spans="1:4">
      <c r="A102" s="46" t="s">
        <v>312</v>
      </c>
      <c r="B102" s="106" t="s">
        <v>277</v>
      </c>
      <c r="C102" s="46" t="s">
        <v>278</v>
      </c>
      <c r="D102" s="46" t="s">
        <v>154</v>
      </c>
    </row>
    <row r="103" spans="1:4">
      <c r="A103" s="46" t="s">
        <v>313</v>
      </c>
      <c r="B103" s="106" t="s">
        <v>277</v>
      </c>
      <c r="C103" s="46" t="s">
        <v>278</v>
      </c>
      <c r="D103" s="46" t="s">
        <v>279</v>
      </c>
    </row>
    <row r="104" spans="1:4">
      <c r="A104" s="46" t="s">
        <v>102</v>
      </c>
      <c r="B104" s="106" t="s">
        <v>277</v>
      </c>
      <c r="C104" s="46" t="s">
        <v>278</v>
      </c>
      <c r="D104" s="46" t="s">
        <v>279</v>
      </c>
    </row>
    <row r="105" spans="1:4">
      <c r="A105" s="46" t="s">
        <v>314</v>
      </c>
      <c r="B105" s="106" t="s">
        <v>277</v>
      </c>
      <c r="C105" s="46" t="s">
        <v>278</v>
      </c>
      <c r="D105" s="46" t="s">
        <v>279</v>
      </c>
    </row>
    <row r="106" spans="1:4">
      <c r="A106" s="46" t="s">
        <v>47</v>
      </c>
      <c r="B106" s="106" t="s">
        <v>277</v>
      </c>
      <c r="C106" s="46" t="s">
        <v>278</v>
      </c>
      <c r="D106" s="46" t="s">
        <v>279</v>
      </c>
    </row>
    <row r="107" spans="1:4">
      <c r="A107" s="46" t="s">
        <v>61</v>
      </c>
      <c r="B107" s="106" t="s">
        <v>277</v>
      </c>
      <c r="C107" s="46" t="s">
        <v>278</v>
      </c>
      <c r="D107" s="46" t="s">
        <v>279</v>
      </c>
    </row>
    <row r="108" spans="1:4">
      <c r="A108" s="46" t="s">
        <v>315</v>
      </c>
      <c r="B108" s="106" t="s">
        <v>277</v>
      </c>
      <c r="C108" s="46" t="s">
        <v>278</v>
      </c>
      <c r="D108" s="46" t="s">
        <v>279</v>
      </c>
    </row>
    <row r="109" spans="1:4">
      <c r="A109" s="46" t="s">
        <v>316</v>
      </c>
      <c r="B109" s="106" t="s">
        <v>277</v>
      </c>
      <c r="C109" s="46" t="s">
        <v>278</v>
      </c>
      <c r="D109" s="46" t="s">
        <v>279</v>
      </c>
    </row>
    <row r="110" spans="1:4">
      <c r="A110" s="46" t="s">
        <v>317</v>
      </c>
      <c r="B110" s="106" t="s">
        <v>277</v>
      </c>
      <c r="C110" s="46" t="s">
        <v>1126</v>
      </c>
      <c r="D110" s="46" t="s">
        <v>292</v>
      </c>
    </row>
    <row r="111" spans="1:4">
      <c r="A111" s="46" t="s">
        <v>318</v>
      </c>
      <c r="B111" s="106" t="s">
        <v>277</v>
      </c>
      <c r="C111" s="46" t="s">
        <v>278</v>
      </c>
      <c r="D111" s="46" t="s">
        <v>279</v>
      </c>
    </row>
    <row r="112" spans="1:4">
      <c r="A112" s="46" t="s">
        <v>319</v>
      </c>
      <c r="B112" s="106" t="s">
        <v>277</v>
      </c>
      <c r="C112" s="46" t="s">
        <v>1126</v>
      </c>
      <c r="D112" s="46" t="s">
        <v>310</v>
      </c>
    </row>
    <row r="113" spans="1:4">
      <c r="A113" s="46" t="s">
        <v>320</v>
      </c>
      <c r="B113" s="106" t="s">
        <v>277</v>
      </c>
      <c r="C113" s="46" t="s">
        <v>278</v>
      </c>
      <c r="D113" s="46" t="s">
        <v>147</v>
      </c>
    </row>
    <row r="114" spans="1:4">
      <c r="A114" s="46" t="s">
        <v>321</v>
      </c>
      <c r="B114" s="106" t="s">
        <v>277</v>
      </c>
      <c r="C114" s="46" t="s">
        <v>278</v>
      </c>
      <c r="D114" s="46" t="s">
        <v>292</v>
      </c>
    </row>
    <row r="115" spans="1:4">
      <c r="A115" s="46" t="s">
        <v>322</v>
      </c>
      <c r="B115" s="106" t="s">
        <v>277</v>
      </c>
      <c r="C115" s="46" t="s">
        <v>1126</v>
      </c>
      <c r="D115" s="46" t="s">
        <v>165</v>
      </c>
    </row>
    <row r="116" spans="1:4">
      <c r="A116" s="46" t="s">
        <v>323</v>
      </c>
      <c r="B116" s="106" t="s">
        <v>277</v>
      </c>
      <c r="C116" s="46" t="s">
        <v>1126</v>
      </c>
      <c r="D116" s="46" t="s">
        <v>165</v>
      </c>
    </row>
    <row r="117" spans="1:4">
      <c r="A117" s="46" t="s">
        <v>324</v>
      </c>
      <c r="B117" s="106" t="s">
        <v>277</v>
      </c>
      <c r="C117" s="46" t="s">
        <v>278</v>
      </c>
      <c r="D117" s="46" t="s">
        <v>306</v>
      </c>
    </row>
    <row r="118" spans="1:4">
      <c r="A118" s="46" t="s">
        <v>325</v>
      </c>
      <c r="B118" s="106" t="s">
        <v>277</v>
      </c>
      <c r="C118" s="46" t="s">
        <v>1126</v>
      </c>
      <c r="D118" s="46" t="s">
        <v>232</v>
      </c>
    </row>
    <row r="119" spans="1:4">
      <c r="A119" s="46" t="s">
        <v>326</v>
      </c>
      <c r="B119" s="106" t="s">
        <v>277</v>
      </c>
      <c r="C119" s="46" t="s">
        <v>278</v>
      </c>
      <c r="D119" s="46" t="s">
        <v>279</v>
      </c>
    </row>
    <row r="120" spans="1:4">
      <c r="A120" s="46" t="s">
        <v>103</v>
      </c>
      <c r="B120" s="106" t="s">
        <v>277</v>
      </c>
      <c r="C120" s="46" t="s">
        <v>278</v>
      </c>
      <c r="D120" s="46" t="s">
        <v>46</v>
      </c>
    </row>
    <row r="121" spans="1:4">
      <c r="A121" s="46" t="s">
        <v>36</v>
      </c>
      <c r="B121" s="106" t="s">
        <v>277</v>
      </c>
      <c r="C121" s="46" t="s">
        <v>278</v>
      </c>
      <c r="D121" s="46" t="s">
        <v>279</v>
      </c>
    </row>
    <row r="122" spans="1:4">
      <c r="A122" s="46" t="s">
        <v>327</v>
      </c>
      <c r="B122" s="106" t="s">
        <v>277</v>
      </c>
      <c r="C122" s="46" t="s">
        <v>278</v>
      </c>
      <c r="D122" s="46" t="s">
        <v>279</v>
      </c>
    </row>
    <row r="123" spans="1:4">
      <c r="A123" s="46" t="s">
        <v>328</v>
      </c>
      <c r="B123" s="106" t="s">
        <v>277</v>
      </c>
      <c r="C123" s="46" t="s">
        <v>1126</v>
      </c>
      <c r="D123" s="46" t="s">
        <v>292</v>
      </c>
    </row>
    <row r="124" spans="1:4">
      <c r="A124" s="46" t="s">
        <v>329</v>
      </c>
      <c r="B124" s="106" t="s">
        <v>277</v>
      </c>
      <c r="C124" s="46" t="s">
        <v>278</v>
      </c>
      <c r="D124" s="46" t="s">
        <v>292</v>
      </c>
    </row>
    <row r="125" spans="1:4">
      <c r="A125" s="46" t="s">
        <v>71</v>
      </c>
      <c r="B125" s="106" t="s">
        <v>277</v>
      </c>
      <c r="C125" s="46" t="s">
        <v>1126</v>
      </c>
      <c r="D125" s="46" t="s">
        <v>141</v>
      </c>
    </row>
    <row r="126" spans="1:4">
      <c r="A126" s="46" t="s">
        <v>330</v>
      </c>
      <c r="B126" s="106" t="s">
        <v>277</v>
      </c>
      <c r="C126" s="46" t="s">
        <v>1126</v>
      </c>
      <c r="D126" s="46" t="s">
        <v>310</v>
      </c>
    </row>
    <row r="127" spans="1:4">
      <c r="A127" s="46" t="s">
        <v>76</v>
      </c>
      <c r="B127" s="106" t="s">
        <v>277</v>
      </c>
      <c r="C127" s="46" t="s">
        <v>1126</v>
      </c>
      <c r="D127" s="46" t="s">
        <v>292</v>
      </c>
    </row>
    <row r="128" spans="1:4">
      <c r="A128" s="46" t="s">
        <v>331</v>
      </c>
      <c r="B128" s="106" t="s">
        <v>277</v>
      </c>
      <c r="C128" s="46" t="s">
        <v>278</v>
      </c>
      <c r="D128" s="46" t="s">
        <v>332</v>
      </c>
    </row>
    <row r="129" spans="1:4">
      <c r="A129" s="46" t="s">
        <v>97</v>
      </c>
      <c r="B129" s="106" t="s">
        <v>277</v>
      </c>
      <c r="C129" s="46" t="s">
        <v>1126</v>
      </c>
      <c r="D129" s="46" t="s">
        <v>147</v>
      </c>
    </row>
    <row r="130" spans="1:4">
      <c r="A130" s="46" t="s">
        <v>333</v>
      </c>
      <c r="B130" s="106" t="s">
        <v>277</v>
      </c>
      <c r="C130" s="46" t="s">
        <v>1126</v>
      </c>
      <c r="D130" s="46" t="s">
        <v>292</v>
      </c>
    </row>
    <row r="131" spans="1:4">
      <c r="A131" s="46" t="s">
        <v>334</v>
      </c>
      <c r="B131" s="106" t="s">
        <v>277</v>
      </c>
      <c r="C131" s="46" t="s">
        <v>335</v>
      </c>
      <c r="D131" s="46" t="s">
        <v>165</v>
      </c>
    </row>
    <row r="132" spans="1:4">
      <c r="A132" s="46" t="s">
        <v>336</v>
      </c>
      <c r="B132" s="106" t="s">
        <v>277</v>
      </c>
      <c r="C132" s="46" t="s">
        <v>335</v>
      </c>
      <c r="D132" s="46" t="s">
        <v>165</v>
      </c>
    </row>
    <row r="133" spans="1:4">
      <c r="A133" s="46" t="s">
        <v>337</v>
      </c>
      <c r="B133" s="106" t="s">
        <v>277</v>
      </c>
      <c r="C133" s="46" t="s">
        <v>1126</v>
      </c>
      <c r="D133" s="46" t="s">
        <v>292</v>
      </c>
    </row>
    <row r="134" spans="1:4">
      <c r="A134" s="46" t="s">
        <v>62</v>
      </c>
      <c r="B134" s="106" t="s">
        <v>277</v>
      </c>
      <c r="C134" s="46" t="s">
        <v>335</v>
      </c>
      <c r="D134" s="46" t="s">
        <v>165</v>
      </c>
    </row>
    <row r="135" spans="1:4">
      <c r="A135" s="46" t="s">
        <v>338</v>
      </c>
      <c r="B135" s="106" t="s">
        <v>277</v>
      </c>
      <c r="C135" s="46" t="s">
        <v>1126</v>
      </c>
      <c r="D135" s="46" t="s">
        <v>292</v>
      </c>
    </row>
    <row r="136" spans="1:4">
      <c r="A136" s="46" t="s">
        <v>70</v>
      </c>
      <c r="B136" s="106" t="s">
        <v>277</v>
      </c>
      <c r="C136" s="46" t="s">
        <v>335</v>
      </c>
      <c r="D136" s="46" t="s">
        <v>165</v>
      </c>
    </row>
    <row r="137" spans="1:4">
      <c r="A137" s="46" t="s">
        <v>23</v>
      </c>
      <c r="B137" s="106" t="s">
        <v>277</v>
      </c>
      <c r="C137" s="46" t="s">
        <v>335</v>
      </c>
      <c r="D137" s="46" t="s">
        <v>165</v>
      </c>
    </row>
    <row r="138" spans="1:4">
      <c r="A138" s="46" t="s">
        <v>32</v>
      </c>
      <c r="B138" s="106" t="s">
        <v>277</v>
      </c>
      <c r="C138" s="46" t="s">
        <v>1126</v>
      </c>
      <c r="D138" s="46" t="s">
        <v>292</v>
      </c>
    </row>
    <row r="139" spans="1:4">
      <c r="A139" s="46" t="s">
        <v>339</v>
      </c>
      <c r="B139" s="106" t="s">
        <v>277</v>
      </c>
      <c r="C139" s="46" t="s">
        <v>1126</v>
      </c>
      <c r="D139" s="46" t="s">
        <v>292</v>
      </c>
    </row>
    <row r="140" spans="1:4">
      <c r="A140" s="46" t="s">
        <v>340</v>
      </c>
      <c r="B140" s="106" t="s">
        <v>277</v>
      </c>
      <c r="C140" s="46" t="s">
        <v>1126</v>
      </c>
      <c r="D140" s="46" t="s">
        <v>125</v>
      </c>
    </row>
    <row r="141" spans="1:4">
      <c r="A141" s="46" t="s">
        <v>87</v>
      </c>
      <c r="B141" s="106" t="s">
        <v>277</v>
      </c>
      <c r="C141" s="46" t="s">
        <v>1126</v>
      </c>
      <c r="D141" s="46" t="s">
        <v>151</v>
      </c>
    </row>
    <row r="142" spans="1:4">
      <c r="A142" s="46" t="s">
        <v>341</v>
      </c>
      <c r="B142" s="106" t="s">
        <v>277</v>
      </c>
      <c r="C142" s="46" t="s">
        <v>335</v>
      </c>
      <c r="D142" s="46" t="s">
        <v>165</v>
      </c>
    </row>
    <row r="143" spans="1:4">
      <c r="A143" s="46" t="s">
        <v>78</v>
      </c>
      <c r="B143" s="106" t="s">
        <v>277</v>
      </c>
      <c r="C143" s="46" t="s">
        <v>335</v>
      </c>
      <c r="D143" s="46" t="s">
        <v>165</v>
      </c>
    </row>
    <row r="144" spans="1:4">
      <c r="A144" s="46" t="s">
        <v>342</v>
      </c>
      <c r="B144" s="106" t="s">
        <v>277</v>
      </c>
      <c r="C144" s="46" t="s">
        <v>1126</v>
      </c>
      <c r="D144" s="46" t="s">
        <v>125</v>
      </c>
    </row>
    <row r="145" spans="1:4">
      <c r="A145" s="46" t="s">
        <v>343</v>
      </c>
      <c r="B145" s="106" t="s">
        <v>277</v>
      </c>
      <c r="C145" s="46" t="s">
        <v>1126</v>
      </c>
      <c r="D145" s="46" t="s">
        <v>292</v>
      </c>
    </row>
    <row r="146" spans="1:4">
      <c r="A146" s="46" t="s">
        <v>41</v>
      </c>
      <c r="B146" s="106" t="s">
        <v>277</v>
      </c>
      <c r="C146" s="46" t="s">
        <v>1126</v>
      </c>
      <c r="D146" s="46" t="s">
        <v>310</v>
      </c>
    </row>
    <row r="147" spans="1:4">
      <c r="A147" s="46" t="s">
        <v>81</v>
      </c>
      <c r="B147" s="106" t="s">
        <v>277</v>
      </c>
      <c r="C147" s="46" t="s">
        <v>1126</v>
      </c>
      <c r="D147" s="46" t="s">
        <v>292</v>
      </c>
    </row>
    <row r="148" spans="1:4">
      <c r="A148" s="46" t="s">
        <v>92</v>
      </c>
      <c r="B148" s="106" t="s">
        <v>277</v>
      </c>
      <c r="C148" s="46" t="s">
        <v>1126</v>
      </c>
      <c r="D148" s="46" t="s">
        <v>141</v>
      </c>
    </row>
    <row r="149" spans="1:4">
      <c r="A149" s="46" t="s">
        <v>344</v>
      </c>
      <c r="B149" s="106" t="s">
        <v>277</v>
      </c>
      <c r="C149" s="46" t="s">
        <v>1126</v>
      </c>
      <c r="D149" s="46" t="s">
        <v>141</v>
      </c>
    </row>
    <row r="150" spans="1:4">
      <c r="A150" s="46" t="s">
        <v>345</v>
      </c>
      <c r="B150" s="106" t="s">
        <v>277</v>
      </c>
      <c r="C150" s="46" t="s">
        <v>335</v>
      </c>
      <c r="D150" s="46" t="s">
        <v>165</v>
      </c>
    </row>
    <row r="151" spans="1:4">
      <c r="A151" s="46" t="s">
        <v>95</v>
      </c>
      <c r="B151" s="106" t="s">
        <v>277</v>
      </c>
      <c r="C151" s="46" t="s">
        <v>335</v>
      </c>
      <c r="D151" s="46" t="s">
        <v>165</v>
      </c>
    </row>
    <row r="152" spans="1:4">
      <c r="A152" s="46" t="s">
        <v>346</v>
      </c>
      <c r="B152" s="106" t="s">
        <v>277</v>
      </c>
      <c r="C152" s="46" t="s">
        <v>1126</v>
      </c>
      <c r="D152" s="46" t="s">
        <v>332</v>
      </c>
    </row>
    <row r="153" spans="1:4">
      <c r="A153" s="46" t="s">
        <v>347</v>
      </c>
      <c r="B153" s="106" t="s">
        <v>277</v>
      </c>
      <c r="C153" s="46" t="s">
        <v>1126</v>
      </c>
      <c r="D153" s="46" t="s">
        <v>294</v>
      </c>
    </row>
    <row r="154" spans="1:4">
      <c r="A154" s="46" t="s">
        <v>348</v>
      </c>
      <c r="B154" s="106" t="s">
        <v>277</v>
      </c>
      <c r="C154" s="46" t="s">
        <v>1126</v>
      </c>
      <c r="D154" s="46" t="s">
        <v>232</v>
      </c>
    </row>
    <row r="155" spans="1:4">
      <c r="A155" s="46" t="s">
        <v>349</v>
      </c>
      <c r="B155" s="106" t="s">
        <v>277</v>
      </c>
      <c r="C155" s="46" t="s">
        <v>335</v>
      </c>
      <c r="D155" s="46" t="s">
        <v>165</v>
      </c>
    </row>
    <row r="156" spans="1:4">
      <c r="A156" s="46" t="s">
        <v>350</v>
      </c>
      <c r="B156" s="106" t="s">
        <v>277</v>
      </c>
      <c r="C156" s="46" t="s">
        <v>335</v>
      </c>
      <c r="D156" s="46" t="s">
        <v>165</v>
      </c>
    </row>
    <row r="157" spans="1:4">
      <c r="A157" s="46" t="s">
        <v>106</v>
      </c>
      <c r="B157" s="106" t="s">
        <v>277</v>
      </c>
      <c r="C157" s="46" t="s">
        <v>335</v>
      </c>
      <c r="D157" s="46" t="s">
        <v>165</v>
      </c>
    </row>
    <row r="158" spans="1:4">
      <c r="A158" s="46" t="s">
        <v>83</v>
      </c>
      <c r="B158" s="106" t="s">
        <v>277</v>
      </c>
      <c r="C158" s="46" t="s">
        <v>335</v>
      </c>
      <c r="D158" s="46" t="s">
        <v>165</v>
      </c>
    </row>
    <row r="159" spans="1:4">
      <c r="A159" s="46" t="s">
        <v>351</v>
      </c>
      <c r="B159" s="106" t="s">
        <v>277</v>
      </c>
      <c r="C159" s="46" t="s">
        <v>278</v>
      </c>
      <c r="D159" s="46" t="s">
        <v>279</v>
      </c>
    </row>
    <row r="160" spans="1:4">
      <c r="A160" s="46" t="s">
        <v>352</v>
      </c>
      <c r="B160" s="106" t="s">
        <v>277</v>
      </c>
      <c r="C160" s="46" t="s">
        <v>335</v>
      </c>
      <c r="D160" s="46" t="s">
        <v>165</v>
      </c>
    </row>
    <row r="161" spans="1:4">
      <c r="A161" s="46" t="s">
        <v>77</v>
      </c>
      <c r="B161" s="106" t="s">
        <v>277</v>
      </c>
      <c r="C161" s="46" t="s">
        <v>335</v>
      </c>
      <c r="D161" s="46" t="s">
        <v>165</v>
      </c>
    </row>
    <row r="162" spans="1:4">
      <c r="A162" s="46" t="s">
        <v>66</v>
      </c>
      <c r="B162" s="106" t="s">
        <v>277</v>
      </c>
      <c r="C162" s="46" t="s">
        <v>278</v>
      </c>
      <c r="D162" s="46" t="s">
        <v>279</v>
      </c>
    </row>
    <row r="163" spans="1:4">
      <c r="A163" s="46" t="s">
        <v>353</v>
      </c>
      <c r="B163" s="106" t="s">
        <v>277</v>
      </c>
      <c r="C163" s="46" t="s">
        <v>1126</v>
      </c>
      <c r="D163" s="46" t="s">
        <v>141</v>
      </c>
    </row>
    <row r="164" spans="1:4">
      <c r="A164" s="46" t="s">
        <v>354</v>
      </c>
      <c r="B164" s="106" t="s">
        <v>277</v>
      </c>
      <c r="C164" s="46" t="s">
        <v>1126</v>
      </c>
      <c r="D164" s="46" t="s">
        <v>292</v>
      </c>
    </row>
    <row r="165" spans="1:4">
      <c r="A165" s="46" t="s">
        <v>355</v>
      </c>
      <c r="B165" s="106" t="s">
        <v>277</v>
      </c>
      <c r="C165" s="46" t="s">
        <v>1126</v>
      </c>
      <c r="D165" s="46" t="s">
        <v>292</v>
      </c>
    </row>
    <row r="166" spans="1:4">
      <c r="A166" s="46" t="s">
        <v>356</v>
      </c>
      <c r="B166" s="106" t="s">
        <v>277</v>
      </c>
      <c r="C166" s="46" t="s">
        <v>1126</v>
      </c>
      <c r="D166" s="46" t="s">
        <v>151</v>
      </c>
    </row>
    <row r="167" spans="1:4">
      <c r="A167" s="46" t="s">
        <v>44</v>
      </c>
      <c r="B167" s="106" t="s">
        <v>277</v>
      </c>
      <c r="C167" s="46" t="s">
        <v>278</v>
      </c>
      <c r="D167" s="46" t="s">
        <v>147</v>
      </c>
    </row>
    <row r="168" spans="1:4">
      <c r="A168" s="46" t="s">
        <v>357</v>
      </c>
      <c r="B168" s="106" t="s">
        <v>277</v>
      </c>
      <c r="C168" s="46" t="s">
        <v>1126</v>
      </c>
      <c r="D168" s="46" t="s">
        <v>332</v>
      </c>
    </row>
    <row r="169" spans="1:4">
      <c r="A169" s="46" t="s">
        <v>358</v>
      </c>
      <c r="B169" s="106" t="s">
        <v>277</v>
      </c>
      <c r="C169" s="46" t="s">
        <v>359</v>
      </c>
      <c r="D169" s="46" t="s">
        <v>165</v>
      </c>
    </row>
    <row r="170" spans="1:4">
      <c r="A170" s="46" t="s">
        <v>360</v>
      </c>
      <c r="B170" s="106" t="s">
        <v>277</v>
      </c>
      <c r="C170" s="46" t="s">
        <v>359</v>
      </c>
      <c r="D170" s="46" t="s">
        <v>165</v>
      </c>
    </row>
    <row r="171" spans="1:4">
      <c r="A171" s="46" t="s">
        <v>361</v>
      </c>
      <c r="B171" s="106" t="s">
        <v>277</v>
      </c>
      <c r="C171" s="46" t="s">
        <v>359</v>
      </c>
      <c r="D171" s="46" t="s">
        <v>165</v>
      </c>
    </row>
    <row r="172" spans="1:4">
      <c r="A172" s="46" t="s">
        <v>362</v>
      </c>
      <c r="B172" s="106" t="s">
        <v>277</v>
      </c>
      <c r="C172" s="46" t="s">
        <v>278</v>
      </c>
      <c r="D172" s="46" t="s">
        <v>279</v>
      </c>
    </row>
    <row r="173" spans="1:4">
      <c r="A173" s="46" t="s">
        <v>363</v>
      </c>
      <c r="B173" s="106" t="s">
        <v>277</v>
      </c>
      <c r="C173" s="46" t="s">
        <v>278</v>
      </c>
      <c r="D173" s="46" t="s">
        <v>147</v>
      </c>
    </row>
    <row r="174" spans="1:4">
      <c r="A174" s="46" t="s">
        <v>364</v>
      </c>
      <c r="B174" s="106" t="s">
        <v>277</v>
      </c>
      <c r="C174" s="46" t="s">
        <v>278</v>
      </c>
      <c r="D174" s="46" t="s">
        <v>292</v>
      </c>
    </row>
    <row r="175" spans="1:4">
      <c r="A175" s="46" t="s">
        <v>365</v>
      </c>
      <c r="B175" s="106" t="s">
        <v>277</v>
      </c>
      <c r="C175" s="46" t="s">
        <v>1126</v>
      </c>
      <c r="D175" s="46" t="s">
        <v>165</v>
      </c>
    </row>
    <row r="176" spans="1:4">
      <c r="A176" s="46" t="s">
        <v>366</v>
      </c>
      <c r="B176" s="106" t="s">
        <v>277</v>
      </c>
      <c r="C176" s="46" t="s">
        <v>278</v>
      </c>
      <c r="D176" s="46" t="s">
        <v>306</v>
      </c>
    </row>
    <row r="177" spans="1:4">
      <c r="A177" s="46" t="s">
        <v>69</v>
      </c>
      <c r="B177" s="106" t="s">
        <v>277</v>
      </c>
      <c r="C177" s="46" t="s">
        <v>367</v>
      </c>
      <c r="D177" s="46" t="s">
        <v>279</v>
      </c>
    </row>
    <row r="178" spans="1:4">
      <c r="A178" s="46" t="s">
        <v>25</v>
      </c>
      <c r="B178" s="106" t="s">
        <v>277</v>
      </c>
      <c r="C178" s="46" t="s">
        <v>367</v>
      </c>
      <c r="D178" s="46" t="s">
        <v>279</v>
      </c>
    </row>
    <row r="179" spans="1:4">
      <c r="A179" s="46" t="s">
        <v>368</v>
      </c>
      <c r="B179" s="106" t="s">
        <v>277</v>
      </c>
      <c r="C179" s="46" t="s">
        <v>367</v>
      </c>
      <c r="D179" s="46" t="s">
        <v>279</v>
      </c>
    </row>
    <row r="180" spans="1:4">
      <c r="A180" s="46" t="s">
        <v>369</v>
      </c>
      <c r="B180" s="106" t="s">
        <v>277</v>
      </c>
      <c r="C180" s="46" t="s">
        <v>278</v>
      </c>
      <c r="D180" s="46" t="s">
        <v>279</v>
      </c>
    </row>
    <row r="181" spans="1:4">
      <c r="A181" s="46" t="s">
        <v>370</v>
      </c>
      <c r="B181" s="106" t="s">
        <v>277</v>
      </c>
      <c r="C181" s="46" t="s">
        <v>367</v>
      </c>
      <c r="D181" s="46" t="s">
        <v>279</v>
      </c>
    </row>
    <row r="182" spans="1:4">
      <c r="A182" s="46" t="s">
        <v>371</v>
      </c>
      <c r="B182" s="106" t="s">
        <v>277</v>
      </c>
      <c r="C182" s="46" t="s">
        <v>367</v>
      </c>
      <c r="D182" s="46" t="s">
        <v>279</v>
      </c>
    </row>
    <row r="183" spans="1:4">
      <c r="A183" s="46" t="s">
        <v>372</v>
      </c>
      <c r="B183" s="106" t="s">
        <v>277</v>
      </c>
      <c r="C183" s="46" t="s">
        <v>278</v>
      </c>
      <c r="D183" s="46" t="s">
        <v>310</v>
      </c>
    </row>
    <row r="184" spans="1:4">
      <c r="A184" s="46" t="s">
        <v>373</v>
      </c>
      <c r="B184" s="106" t="s">
        <v>277</v>
      </c>
      <c r="C184" s="46" t="s">
        <v>367</v>
      </c>
      <c r="D184" s="46" t="s">
        <v>294</v>
      </c>
    </row>
    <row r="185" spans="1:4">
      <c r="A185" s="46" t="s">
        <v>374</v>
      </c>
      <c r="B185" s="106" t="s">
        <v>277</v>
      </c>
      <c r="C185" s="46" t="s">
        <v>367</v>
      </c>
      <c r="D185" s="46" t="s">
        <v>294</v>
      </c>
    </row>
    <row r="186" spans="1:4">
      <c r="A186" s="46" t="s">
        <v>375</v>
      </c>
      <c r="B186" s="106" t="s">
        <v>277</v>
      </c>
      <c r="C186" s="46" t="s">
        <v>367</v>
      </c>
      <c r="D186" s="46" t="s">
        <v>294</v>
      </c>
    </row>
    <row r="187" spans="1:4">
      <c r="A187" s="46" t="s">
        <v>376</v>
      </c>
      <c r="B187" s="106" t="s">
        <v>277</v>
      </c>
      <c r="C187" s="46" t="s">
        <v>367</v>
      </c>
      <c r="D187" s="46" t="s">
        <v>294</v>
      </c>
    </row>
    <row r="188" spans="1:4">
      <c r="A188" s="46" t="s">
        <v>377</v>
      </c>
      <c r="B188" s="106" t="s">
        <v>277</v>
      </c>
      <c r="C188" s="46" t="s">
        <v>367</v>
      </c>
      <c r="D188" s="46" t="s">
        <v>141</v>
      </c>
    </row>
    <row r="189" spans="1:4">
      <c r="A189" s="46" t="s">
        <v>378</v>
      </c>
      <c r="B189" s="106" t="s">
        <v>277</v>
      </c>
      <c r="C189" s="46" t="s">
        <v>367</v>
      </c>
      <c r="D189" s="46" t="s">
        <v>141</v>
      </c>
    </row>
    <row r="190" spans="1:4">
      <c r="A190" s="46" t="s">
        <v>379</v>
      </c>
      <c r="B190" s="106" t="s">
        <v>277</v>
      </c>
      <c r="C190" s="46" t="s">
        <v>380</v>
      </c>
      <c r="D190" s="46" t="s">
        <v>46</v>
      </c>
    </row>
    <row r="191" spans="1:4">
      <c r="A191" s="46" t="s">
        <v>381</v>
      </c>
      <c r="B191" s="106" t="s">
        <v>277</v>
      </c>
      <c r="C191" s="46" t="s">
        <v>380</v>
      </c>
      <c r="D191" s="46" t="s">
        <v>46</v>
      </c>
    </row>
    <row r="192" spans="1:4">
      <c r="A192" s="46" t="s">
        <v>382</v>
      </c>
      <c r="B192" s="106" t="s">
        <v>277</v>
      </c>
      <c r="C192" s="46" t="s">
        <v>367</v>
      </c>
      <c r="D192" s="46" t="s">
        <v>141</v>
      </c>
    </row>
    <row r="193" spans="1:4">
      <c r="A193" s="46" t="s">
        <v>383</v>
      </c>
      <c r="B193" s="106" t="s">
        <v>277</v>
      </c>
      <c r="C193" s="46" t="s">
        <v>380</v>
      </c>
      <c r="D193" s="46" t="s">
        <v>46</v>
      </c>
    </row>
    <row r="194" spans="1:4">
      <c r="A194" s="46" t="s">
        <v>384</v>
      </c>
      <c r="B194" s="106" t="s">
        <v>277</v>
      </c>
      <c r="C194" s="46" t="s">
        <v>380</v>
      </c>
      <c r="D194" s="46" t="s">
        <v>46</v>
      </c>
    </row>
    <row r="195" spans="1:4">
      <c r="A195" s="46" t="s">
        <v>385</v>
      </c>
      <c r="B195" s="106" t="s">
        <v>277</v>
      </c>
      <c r="C195" s="46" t="s">
        <v>278</v>
      </c>
      <c r="D195" s="46" t="s">
        <v>310</v>
      </c>
    </row>
    <row r="196" spans="1:4">
      <c r="A196" s="46" t="s">
        <v>386</v>
      </c>
      <c r="B196" s="106" t="s">
        <v>277</v>
      </c>
      <c r="C196" s="46" t="s">
        <v>380</v>
      </c>
      <c r="D196" s="46" t="s">
        <v>46</v>
      </c>
    </row>
    <row r="197" spans="1:4">
      <c r="A197" s="46" t="s">
        <v>387</v>
      </c>
      <c r="B197" s="106" t="s">
        <v>277</v>
      </c>
      <c r="C197" s="46" t="s">
        <v>278</v>
      </c>
      <c r="D197" s="46" t="s">
        <v>310</v>
      </c>
    </row>
    <row r="198" spans="1:4">
      <c r="A198" s="46" t="s">
        <v>388</v>
      </c>
      <c r="B198" s="106" t="s">
        <v>277</v>
      </c>
      <c r="C198" s="46" t="s">
        <v>278</v>
      </c>
      <c r="D198" s="46" t="s">
        <v>310</v>
      </c>
    </row>
    <row r="199" spans="1:4">
      <c r="A199" s="46" t="s">
        <v>389</v>
      </c>
      <c r="B199" s="106" t="s">
        <v>277</v>
      </c>
      <c r="C199" s="46" t="s">
        <v>278</v>
      </c>
      <c r="D199" s="46" t="s">
        <v>332</v>
      </c>
    </row>
    <row r="200" spans="1:4">
      <c r="A200" s="46" t="s">
        <v>390</v>
      </c>
      <c r="B200" s="106" t="s">
        <v>277</v>
      </c>
      <c r="C200" s="46" t="s">
        <v>278</v>
      </c>
      <c r="D200" s="46" t="s">
        <v>306</v>
      </c>
    </row>
    <row r="201" spans="1:4">
      <c r="A201" s="46" t="s">
        <v>17</v>
      </c>
      <c r="B201" s="106" t="s">
        <v>277</v>
      </c>
      <c r="C201" s="46" t="s">
        <v>380</v>
      </c>
      <c r="D201" s="46" t="s">
        <v>46</v>
      </c>
    </row>
    <row r="202" spans="1:4">
      <c r="A202" s="46" t="s">
        <v>391</v>
      </c>
      <c r="B202" s="106" t="s">
        <v>277</v>
      </c>
      <c r="C202" s="46" t="s">
        <v>380</v>
      </c>
      <c r="D202" s="46" t="s">
        <v>46</v>
      </c>
    </row>
    <row r="203" spans="1:4">
      <c r="A203" s="46" t="s">
        <v>392</v>
      </c>
      <c r="B203" s="106" t="s">
        <v>277</v>
      </c>
      <c r="C203" s="46" t="s">
        <v>380</v>
      </c>
      <c r="D203" s="46" t="s">
        <v>46</v>
      </c>
    </row>
    <row r="204" spans="1:4">
      <c r="A204" s="46" t="s">
        <v>393</v>
      </c>
      <c r="B204" s="106" t="s">
        <v>277</v>
      </c>
      <c r="C204" s="46" t="s">
        <v>278</v>
      </c>
      <c r="D204" s="46" t="s">
        <v>141</v>
      </c>
    </row>
    <row r="205" spans="1:4">
      <c r="A205" s="46" t="s">
        <v>394</v>
      </c>
      <c r="B205" s="106" t="s">
        <v>277</v>
      </c>
      <c r="C205" s="46" t="s">
        <v>278</v>
      </c>
      <c r="D205" s="46" t="s">
        <v>141</v>
      </c>
    </row>
    <row r="206" spans="1:4">
      <c r="A206" s="46" t="s">
        <v>395</v>
      </c>
      <c r="B206" s="106" t="s">
        <v>277</v>
      </c>
      <c r="C206" s="46" t="s">
        <v>1126</v>
      </c>
      <c r="D206" s="46" t="s">
        <v>165</v>
      </c>
    </row>
    <row r="207" spans="1:4">
      <c r="A207" s="46" t="s">
        <v>396</v>
      </c>
      <c r="B207" s="106" t="s">
        <v>277</v>
      </c>
      <c r="C207" s="46" t="s">
        <v>1126</v>
      </c>
      <c r="D207" s="46" t="s">
        <v>165</v>
      </c>
    </row>
    <row r="208" spans="1:4">
      <c r="A208" s="46" t="s">
        <v>397</v>
      </c>
      <c r="B208" s="106" t="s">
        <v>277</v>
      </c>
      <c r="C208" s="46" t="s">
        <v>278</v>
      </c>
      <c r="D208" s="46" t="s">
        <v>279</v>
      </c>
    </row>
    <row r="209" spans="1:4">
      <c r="A209" s="46" t="s">
        <v>398</v>
      </c>
      <c r="B209" s="106" t="s">
        <v>277</v>
      </c>
      <c r="C209" s="46" t="s">
        <v>367</v>
      </c>
      <c r="D209" s="46" t="s">
        <v>279</v>
      </c>
    </row>
    <row r="210" spans="1:4">
      <c r="A210" s="46" t="s">
        <v>399</v>
      </c>
      <c r="B210" s="106" t="s">
        <v>277</v>
      </c>
      <c r="C210" s="46" t="s">
        <v>367</v>
      </c>
      <c r="D210" s="46" t="s">
        <v>279</v>
      </c>
    </row>
    <row r="211" spans="1:4">
      <c r="A211" s="46" t="s">
        <v>400</v>
      </c>
      <c r="B211" s="106" t="s">
        <v>277</v>
      </c>
      <c r="C211" s="46" t="s">
        <v>401</v>
      </c>
      <c r="D211" s="46" t="s">
        <v>279</v>
      </c>
    </row>
    <row r="212" spans="1:4">
      <c r="A212" s="46" t="s">
        <v>34</v>
      </c>
      <c r="B212" s="106" t="s">
        <v>277</v>
      </c>
      <c r="C212" s="46" t="s">
        <v>401</v>
      </c>
      <c r="D212" s="46" t="s">
        <v>279</v>
      </c>
    </row>
    <row r="213" spans="1:4">
      <c r="A213" s="46" t="s">
        <v>402</v>
      </c>
      <c r="B213" s="106" t="s">
        <v>277</v>
      </c>
      <c r="C213" s="46" t="s">
        <v>278</v>
      </c>
      <c r="D213" s="46" t="s">
        <v>306</v>
      </c>
    </row>
    <row r="214" spans="1:4">
      <c r="A214" s="46" t="s">
        <v>403</v>
      </c>
      <c r="B214" s="106" t="s">
        <v>277</v>
      </c>
      <c r="C214" s="46" t="s">
        <v>278</v>
      </c>
      <c r="D214" s="46" t="s">
        <v>46</v>
      </c>
    </row>
    <row r="215" spans="1:4">
      <c r="A215" s="46" t="s">
        <v>60</v>
      </c>
      <c r="B215" s="106" t="s">
        <v>277</v>
      </c>
      <c r="C215" s="46" t="s">
        <v>401</v>
      </c>
      <c r="D215" s="46" t="s">
        <v>279</v>
      </c>
    </row>
    <row r="216" spans="1:4">
      <c r="A216" s="46" t="s">
        <v>404</v>
      </c>
      <c r="B216" s="106" t="s">
        <v>277</v>
      </c>
      <c r="C216" s="46" t="s">
        <v>401</v>
      </c>
      <c r="D216" s="46" t="s">
        <v>279</v>
      </c>
    </row>
    <row r="217" spans="1:4">
      <c r="A217" s="46" t="s">
        <v>54</v>
      </c>
      <c r="B217" s="106" t="s">
        <v>277</v>
      </c>
      <c r="C217" s="46" t="s">
        <v>401</v>
      </c>
      <c r="D217" s="46" t="s">
        <v>279</v>
      </c>
    </row>
    <row r="218" spans="1:4">
      <c r="A218" s="46" t="s">
        <v>40</v>
      </c>
      <c r="B218" s="106" t="s">
        <v>277</v>
      </c>
      <c r="C218" s="46" t="s">
        <v>1126</v>
      </c>
      <c r="D218" s="46" t="s">
        <v>310</v>
      </c>
    </row>
    <row r="219" spans="1:4">
      <c r="A219" s="46" t="s">
        <v>84</v>
      </c>
      <c r="B219" s="106" t="s">
        <v>277</v>
      </c>
      <c r="C219" s="46" t="s">
        <v>335</v>
      </c>
      <c r="D219" s="46" t="s">
        <v>306</v>
      </c>
    </row>
    <row r="220" spans="1:4">
      <c r="A220" s="46" t="s">
        <v>405</v>
      </c>
      <c r="B220" s="106" t="s">
        <v>277</v>
      </c>
      <c r="C220" s="46" t="s">
        <v>335</v>
      </c>
      <c r="D220" s="96" t="s">
        <v>306</v>
      </c>
    </row>
    <row r="221" spans="1:4">
      <c r="A221" s="46" t="s">
        <v>406</v>
      </c>
      <c r="B221" s="106" t="s">
        <v>277</v>
      </c>
      <c r="C221" s="46" t="s">
        <v>278</v>
      </c>
      <c r="D221" s="46" t="s">
        <v>147</v>
      </c>
    </row>
    <row r="222" spans="1:4">
      <c r="A222" s="46" t="s">
        <v>407</v>
      </c>
      <c r="B222" s="106" t="s">
        <v>277</v>
      </c>
      <c r="C222" s="46" t="s">
        <v>335</v>
      </c>
      <c r="D222" s="46" t="s">
        <v>332</v>
      </c>
    </row>
    <row r="223" spans="1:4">
      <c r="A223" s="46" t="s">
        <v>408</v>
      </c>
      <c r="B223" s="106" t="s">
        <v>277</v>
      </c>
      <c r="C223" s="46" t="s">
        <v>367</v>
      </c>
      <c r="D223" s="46" t="s">
        <v>294</v>
      </c>
    </row>
    <row r="224" spans="1:4">
      <c r="A224" s="46" t="s">
        <v>409</v>
      </c>
      <c r="B224" s="106" t="s">
        <v>277</v>
      </c>
      <c r="C224" s="46" t="s">
        <v>367</v>
      </c>
      <c r="D224" s="46" t="s">
        <v>294</v>
      </c>
    </row>
    <row r="225" spans="1:4">
      <c r="A225" s="46" t="s">
        <v>410</v>
      </c>
      <c r="B225" s="106" t="s">
        <v>277</v>
      </c>
      <c r="C225" s="46" t="s">
        <v>367</v>
      </c>
      <c r="D225" s="46" t="s">
        <v>294</v>
      </c>
    </row>
    <row r="226" spans="1:4">
      <c r="A226" s="46" t="s">
        <v>411</v>
      </c>
      <c r="B226" s="106" t="s">
        <v>277</v>
      </c>
      <c r="C226" s="46" t="s">
        <v>367</v>
      </c>
      <c r="D226" s="46" t="s">
        <v>141</v>
      </c>
    </row>
    <row r="227" spans="1:4">
      <c r="A227" s="46" t="s">
        <v>412</v>
      </c>
      <c r="B227" s="106" t="s">
        <v>277</v>
      </c>
      <c r="C227" s="46" t="s">
        <v>367</v>
      </c>
      <c r="D227" s="46" t="s">
        <v>294</v>
      </c>
    </row>
    <row r="228" spans="1:4">
      <c r="A228" s="46" t="s">
        <v>413</v>
      </c>
      <c r="B228" s="106" t="s">
        <v>277</v>
      </c>
      <c r="C228" s="46" t="s">
        <v>367</v>
      </c>
      <c r="D228" s="46" t="s">
        <v>294</v>
      </c>
    </row>
    <row r="229" spans="1:4">
      <c r="A229" s="46" t="s">
        <v>414</v>
      </c>
      <c r="B229" s="106" t="s">
        <v>277</v>
      </c>
      <c r="C229" s="46" t="s">
        <v>367</v>
      </c>
      <c r="D229" s="46" t="s">
        <v>294</v>
      </c>
    </row>
    <row r="230" spans="1:4">
      <c r="A230" s="46" t="s">
        <v>415</v>
      </c>
      <c r="B230" s="106" t="s">
        <v>277</v>
      </c>
      <c r="C230" s="46" t="s">
        <v>401</v>
      </c>
      <c r="D230" s="46" t="s">
        <v>279</v>
      </c>
    </row>
    <row r="231" spans="1:4">
      <c r="A231" s="46" t="s">
        <v>416</v>
      </c>
      <c r="B231" s="106" t="s">
        <v>277</v>
      </c>
      <c r="C231" s="46" t="s">
        <v>401</v>
      </c>
      <c r="D231" s="46" t="s">
        <v>279</v>
      </c>
    </row>
    <row r="232" spans="1:4">
      <c r="A232" s="46" t="s">
        <v>417</v>
      </c>
      <c r="B232" s="106" t="s">
        <v>277</v>
      </c>
      <c r="C232" s="46" t="s">
        <v>335</v>
      </c>
      <c r="D232" s="46" t="s">
        <v>306</v>
      </c>
    </row>
    <row r="233" spans="1:4">
      <c r="A233" s="46" t="s">
        <v>418</v>
      </c>
      <c r="B233" s="106" t="s">
        <v>277</v>
      </c>
      <c r="C233" s="46" t="s">
        <v>335</v>
      </c>
      <c r="D233" s="46" t="s">
        <v>306</v>
      </c>
    </row>
    <row r="234" spans="1:4">
      <c r="A234" s="46" t="s">
        <v>419</v>
      </c>
      <c r="B234" s="106" t="s">
        <v>277</v>
      </c>
      <c r="C234" s="46" t="s">
        <v>335</v>
      </c>
      <c r="D234" s="46" t="s">
        <v>151</v>
      </c>
    </row>
    <row r="235" spans="1:4">
      <c r="A235" s="46" t="s">
        <v>420</v>
      </c>
      <c r="B235" s="106" t="s">
        <v>277</v>
      </c>
      <c r="C235" s="46" t="s">
        <v>335</v>
      </c>
      <c r="D235" s="46" t="s">
        <v>332</v>
      </c>
    </row>
    <row r="236" spans="1:4">
      <c r="A236" s="46" t="s">
        <v>421</v>
      </c>
      <c r="B236" s="106" t="s">
        <v>277</v>
      </c>
      <c r="C236" s="46" t="s">
        <v>278</v>
      </c>
      <c r="D236" s="46" t="s">
        <v>154</v>
      </c>
    </row>
    <row r="237" spans="1:4">
      <c r="A237" s="46" t="s">
        <v>422</v>
      </c>
      <c r="B237" s="106" t="s">
        <v>277</v>
      </c>
      <c r="C237" s="46" t="s">
        <v>335</v>
      </c>
      <c r="D237" s="46" t="s">
        <v>306</v>
      </c>
    </row>
    <row r="238" spans="1:4">
      <c r="A238" s="46" t="s">
        <v>423</v>
      </c>
      <c r="B238" s="106" t="s">
        <v>277</v>
      </c>
      <c r="C238" s="46" t="s">
        <v>335</v>
      </c>
      <c r="D238" s="46" t="s">
        <v>306</v>
      </c>
    </row>
    <row r="239" spans="1:4">
      <c r="A239" s="46" t="s">
        <v>424</v>
      </c>
      <c r="B239" s="106" t="s">
        <v>277</v>
      </c>
      <c r="C239" s="46" t="s">
        <v>335</v>
      </c>
      <c r="D239" s="46" t="s">
        <v>306</v>
      </c>
    </row>
    <row r="240" spans="1:4">
      <c r="A240" s="46" t="s">
        <v>425</v>
      </c>
      <c r="B240" s="106" t="s">
        <v>277</v>
      </c>
      <c r="C240" s="46" t="s">
        <v>1126</v>
      </c>
      <c r="D240" s="46" t="s">
        <v>332</v>
      </c>
    </row>
    <row r="241" spans="1:4">
      <c r="A241" s="46" t="s">
        <v>426</v>
      </c>
      <c r="B241" s="106" t="s">
        <v>277</v>
      </c>
      <c r="C241" s="46" t="s">
        <v>335</v>
      </c>
      <c r="D241" s="46" t="s">
        <v>332</v>
      </c>
    </row>
    <row r="242" spans="1:4">
      <c r="A242" s="46" t="s">
        <v>427</v>
      </c>
      <c r="B242" s="106" t="s">
        <v>277</v>
      </c>
      <c r="C242" s="46" t="s">
        <v>335</v>
      </c>
      <c r="D242" s="46" t="s">
        <v>306</v>
      </c>
    </row>
    <row r="243" spans="1:4">
      <c r="A243" s="46" t="s">
        <v>428</v>
      </c>
      <c r="B243" s="106" t="s">
        <v>277</v>
      </c>
      <c r="C243" s="46" t="s">
        <v>401</v>
      </c>
      <c r="D243" s="46" t="s">
        <v>279</v>
      </c>
    </row>
    <row r="244" spans="1:4">
      <c r="A244" s="46" t="s">
        <v>43</v>
      </c>
      <c r="B244" s="106" t="s">
        <v>277</v>
      </c>
      <c r="C244" s="46" t="s">
        <v>335</v>
      </c>
      <c r="D244" s="46" t="s">
        <v>151</v>
      </c>
    </row>
    <row r="245" spans="1:4">
      <c r="A245" s="46" t="s">
        <v>429</v>
      </c>
      <c r="B245" s="106" t="s">
        <v>277</v>
      </c>
      <c r="C245" s="46" t="s">
        <v>335</v>
      </c>
      <c r="D245" s="46" t="s">
        <v>151</v>
      </c>
    </row>
    <row r="246" spans="1:4">
      <c r="A246" s="46" t="s">
        <v>430</v>
      </c>
      <c r="B246" s="106" t="s">
        <v>277</v>
      </c>
      <c r="C246" s="46" t="s">
        <v>278</v>
      </c>
      <c r="D246" s="46" t="s">
        <v>147</v>
      </c>
    </row>
    <row r="247" spans="1:4">
      <c r="A247" s="46" t="s">
        <v>431</v>
      </c>
      <c r="B247" s="106" t="s">
        <v>277</v>
      </c>
      <c r="C247" s="46" t="s">
        <v>335</v>
      </c>
      <c r="D247" s="46" t="s">
        <v>306</v>
      </c>
    </row>
    <row r="248" spans="1:4">
      <c r="A248" s="46" t="s">
        <v>432</v>
      </c>
      <c r="B248" s="106" t="s">
        <v>277</v>
      </c>
      <c r="C248" s="46" t="s">
        <v>401</v>
      </c>
      <c r="D248" s="46" t="s">
        <v>279</v>
      </c>
    </row>
    <row r="249" spans="1:4">
      <c r="A249" s="46" t="s">
        <v>433</v>
      </c>
      <c r="B249" s="106" t="s">
        <v>277</v>
      </c>
      <c r="C249" s="46" t="s">
        <v>335</v>
      </c>
      <c r="D249" s="46" t="s">
        <v>306</v>
      </c>
    </row>
    <row r="250" spans="1:4">
      <c r="A250" s="46" t="s">
        <v>434</v>
      </c>
      <c r="B250" s="106" t="s">
        <v>277</v>
      </c>
      <c r="C250" s="46" t="s">
        <v>335</v>
      </c>
      <c r="D250" s="46" t="s">
        <v>306</v>
      </c>
    </row>
    <row r="251" spans="1:4">
      <c r="A251" s="46" t="s">
        <v>435</v>
      </c>
      <c r="B251" s="106" t="s">
        <v>277</v>
      </c>
      <c r="C251" s="46" t="s">
        <v>278</v>
      </c>
      <c r="D251" s="46" t="s">
        <v>147</v>
      </c>
    </row>
    <row r="252" spans="1:4">
      <c r="A252" s="46" t="s">
        <v>104</v>
      </c>
      <c r="B252" s="106" t="s">
        <v>277</v>
      </c>
      <c r="C252" s="46" t="s">
        <v>278</v>
      </c>
      <c r="D252" s="46" t="s">
        <v>154</v>
      </c>
    </row>
    <row r="253" spans="1:4">
      <c r="A253" s="46" t="s">
        <v>436</v>
      </c>
      <c r="B253" s="106" t="s">
        <v>277</v>
      </c>
      <c r="C253" s="46" t="s">
        <v>401</v>
      </c>
      <c r="D253" s="46" t="s">
        <v>125</v>
      </c>
    </row>
    <row r="254" spans="1:4">
      <c r="A254" s="46" t="s">
        <v>437</v>
      </c>
      <c r="B254" s="106" t="s">
        <v>277</v>
      </c>
      <c r="C254" s="46" t="s">
        <v>401</v>
      </c>
      <c r="D254" s="46" t="s">
        <v>310</v>
      </c>
    </row>
    <row r="255" spans="1:4">
      <c r="A255" s="46" t="s">
        <v>48</v>
      </c>
      <c r="B255" s="106" t="s">
        <v>277</v>
      </c>
      <c r="C255" s="46" t="s">
        <v>401</v>
      </c>
      <c r="D255" s="46" t="s">
        <v>125</v>
      </c>
    </row>
    <row r="256" spans="1:4">
      <c r="A256" s="46" t="s">
        <v>438</v>
      </c>
      <c r="B256" s="106" t="s">
        <v>277</v>
      </c>
      <c r="C256" s="46" t="s">
        <v>335</v>
      </c>
      <c r="D256" s="46" t="s">
        <v>151</v>
      </c>
    </row>
    <row r="257" spans="1:4">
      <c r="A257" s="46" t="s">
        <v>439</v>
      </c>
      <c r="B257" s="106" t="s">
        <v>277</v>
      </c>
      <c r="C257" s="46" t="s">
        <v>335</v>
      </c>
      <c r="D257" s="46" t="s">
        <v>151</v>
      </c>
    </row>
    <row r="258" spans="1:4">
      <c r="A258" s="46" t="s">
        <v>440</v>
      </c>
      <c r="B258" s="106" t="s">
        <v>277</v>
      </c>
      <c r="C258" s="46" t="s">
        <v>335</v>
      </c>
      <c r="D258" s="46" t="s">
        <v>151</v>
      </c>
    </row>
    <row r="259" spans="1:4">
      <c r="A259" s="46" t="s">
        <v>441</v>
      </c>
      <c r="B259" s="106" t="s">
        <v>277</v>
      </c>
      <c r="C259" s="46" t="s">
        <v>401</v>
      </c>
      <c r="D259" s="46" t="s">
        <v>125</v>
      </c>
    </row>
    <row r="260" spans="1:4">
      <c r="A260" s="46" t="s">
        <v>57</v>
      </c>
      <c r="B260" s="106" t="s">
        <v>277</v>
      </c>
      <c r="C260" s="46" t="s">
        <v>401</v>
      </c>
      <c r="D260" s="46" t="s">
        <v>310</v>
      </c>
    </row>
    <row r="261" spans="1:4">
      <c r="A261" s="46" t="s">
        <v>442</v>
      </c>
      <c r="B261" s="106" t="s">
        <v>277</v>
      </c>
      <c r="C261" s="46" t="s">
        <v>401</v>
      </c>
      <c r="D261" s="46" t="s">
        <v>310</v>
      </c>
    </row>
    <row r="262" spans="1:4">
      <c r="A262" s="46" t="s">
        <v>443</v>
      </c>
      <c r="B262" s="106" t="s">
        <v>277</v>
      </c>
      <c r="C262" s="46" t="s">
        <v>278</v>
      </c>
      <c r="D262" s="46" t="s">
        <v>46</v>
      </c>
    </row>
    <row r="263" spans="1:4">
      <c r="A263" s="46" t="s">
        <v>444</v>
      </c>
      <c r="B263" s="106" t="s">
        <v>277</v>
      </c>
      <c r="C263" s="46" t="s">
        <v>367</v>
      </c>
      <c r="D263" s="46" t="s">
        <v>279</v>
      </c>
    </row>
    <row r="264" spans="1:4">
      <c r="A264" s="46" t="s">
        <v>445</v>
      </c>
      <c r="B264" s="106" t="s">
        <v>277</v>
      </c>
      <c r="C264" s="46" t="s">
        <v>367</v>
      </c>
      <c r="D264" s="46" t="s">
        <v>279</v>
      </c>
    </row>
    <row r="265" spans="1:4">
      <c r="A265" s="46" t="s">
        <v>446</v>
      </c>
      <c r="B265" s="106" t="s">
        <v>277</v>
      </c>
      <c r="C265" s="46" t="s">
        <v>335</v>
      </c>
      <c r="D265" s="46" t="s">
        <v>151</v>
      </c>
    </row>
    <row r="266" spans="1:4">
      <c r="A266" s="46" t="s">
        <v>447</v>
      </c>
      <c r="B266" s="106" t="s">
        <v>277</v>
      </c>
      <c r="C266" s="46" t="s">
        <v>335</v>
      </c>
      <c r="D266" s="46" t="s">
        <v>151</v>
      </c>
    </row>
    <row r="267" spans="1:4">
      <c r="A267" s="46" t="s">
        <v>448</v>
      </c>
      <c r="B267" s="106" t="s">
        <v>277</v>
      </c>
      <c r="C267" s="46" t="s">
        <v>335</v>
      </c>
      <c r="D267" s="46" t="s">
        <v>306</v>
      </c>
    </row>
    <row r="268" spans="1:4">
      <c r="A268" s="46" t="s">
        <v>449</v>
      </c>
      <c r="B268" s="106" t="s">
        <v>277</v>
      </c>
      <c r="C268" s="46" t="s">
        <v>278</v>
      </c>
      <c r="D268" s="46" t="s">
        <v>292</v>
      </c>
    </row>
    <row r="269" spans="1:4">
      <c r="A269" s="46" t="s">
        <v>450</v>
      </c>
      <c r="B269" s="106" t="s">
        <v>277</v>
      </c>
      <c r="C269" s="46" t="s">
        <v>278</v>
      </c>
      <c r="D269" s="46" t="s">
        <v>141</v>
      </c>
    </row>
    <row r="270" spans="1:4">
      <c r="A270" s="46" t="s">
        <v>451</v>
      </c>
      <c r="B270" s="106" t="s">
        <v>277</v>
      </c>
      <c r="C270" s="46" t="s">
        <v>278</v>
      </c>
      <c r="D270" s="46" t="s">
        <v>147</v>
      </c>
    </row>
    <row r="271" spans="1:4">
      <c r="A271" s="46" t="s">
        <v>452</v>
      </c>
      <c r="B271" s="106" t="s">
        <v>277</v>
      </c>
      <c r="C271" s="46" t="s">
        <v>367</v>
      </c>
      <c r="D271" s="46" t="s">
        <v>141</v>
      </c>
    </row>
    <row r="272" spans="1:4">
      <c r="A272" s="46" t="s">
        <v>453</v>
      </c>
      <c r="B272" s="106" t="s">
        <v>277</v>
      </c>
      <c r="C272" s="46" t="s">
        <v>367</v>
      </c>
      <c r="D272" s="46" t="s">
        <v>294</v>
      </c>
    </row>
    <row r="273" spans="1:4">
      <c r="A273" s="46" t="s">
        <v>42</v>
      </c>
      <c r="B273" s="106" t="s">
        <v>277</v>
      </c>
      <c r="C273" s="46" t="s">
        <v>380</v>
      </c>
      <c r="D273" s="46" t="s">
        <v>46</v>
      </c>
    </row>
    <row r="274" spans="1:4">
      <c r="A274" s="46" t="s">
        <v>86</v>
      </c>
      <c r="B274" s="106" t="s">
        <v>277</v>
      </c>
      <c r="C274" s="46" t="s">
        <v>380</v>
      </c>
      <c r="D274" s="46" t="s">
        <v>46</v>
      </c>
    </row>
    <row r="275" spans="1:4">
      <c r="A275" s="46" t="s">
        <v>454</v>
      </c>
      <c r="B275" s="106" t="s">
        <v>277</v>
      </c>
      <c r="C275" s="46" t="s">
        <v>455</v>
      </c>
      <c r="D275" s="46" t="s">
        <v>279</v>
      </c>
    </row>
    <row r="276" spans="1:4">
      <c r="A276" s="46" t="s">
        <v>456</v>
      </c>
      <c r="B276" s="106" t="s">
        <v>277</v>
      </c>
      <c r="C276" s="46" t="s">
        <v>457</v>
      </c>
      <c r="D276" s="46" t="s">
        <v>165</v>
      </c>
    </row>
    <row r="277" spans="1:4">
      <c r="A277" s="46" t="s">
        <v>458</v>
      </c>
      <c r="B277" s="106" t="s">
        <v>277</v>
      </c>
      <c r="C277" s="46" t="s">
        <v>457</v>
      </c>
      <c r="D277" s="46" t="s">
        <v>165</v>
      </c>
    </row>
    <row r="278" spans="1:4">
      <c r="A278" s="46" t="s">
        <v>459</v>
      </c>
      <c r="B278" s="106" t="s">
        <v>277</v>
      </c>
      <c r="C278" s="46" t="s">
        <v>457</v>
      </c>
      <c r="D278" s="46" t="s">
        <v>165</v>
      </c>
    </row>
    <row r="279" spans="1:4">
      <c r="A279" s="46" t="s">
        <v>51</v>
      </c>
      <c r="B279" s="106" t="s">
        <v>277</v>
      </c>
      <c r="C279" s="46" t="s">
        <v>457</v>
      </c>
      <c r="D279" s="46" t="s">
        <v>165</v>
      </c>
    </row>
    <row r="280" spans="1:4">
      <c r="A280" s="46" t="s">
        <v>460</v>
      </c>
      <c r="B280" s="106" t="s">
        <v>277</v>
      </c>
      <c r="C280" s="46" t="s">
        <v>278</v>
      </c>
      <c r="D280" s="46" t="s">
        <v>125</v>
      </c>
    </row>
    <row r="281" spans="1:4">
      <c r="A281" s="46" t="s">
        <v>461</v>
      </c>
      <c r="B281" s="106" t="s">
        <v>277</v>
      </c>
      <c r="C281" s="46" t="s">
        <v>278</v>
      </c>
      <c r="D281" s="46" t="s">
        <v>141</v>
      </c>
    </row>
    <row r="282" spans="1:4">
      <c r="A282" s="46" t="s">
        <v>462</v>
      </c>
      <c r="B282" s="106" t="s">
        <v>277</v>
      </c>
      <c r="C282" s="46" t="s">
        <v>278</v>
      </c>
      <c r="D282" s="46" t="s">
        <v>154</v>
      </c>
    </row>
    <row r="283" spans="1:4">
      <c r="A283" s="46" t="s">
        <v>463</v>
      </c>
      <c r="B283" s="106" t="s">
        <v>277</v>
      </c>
      <c r="C283" s="46" t="s">
        <v>367</v>
      </c>
      <c r="D283" s="46" t="s">
        <v>279</v>
      </c>
    </row>
    <row r="284" spans="1:4">
      <c r="A284" s="46" t="s">
        <v>63</v>
      </c>
      <c r="B284" s="106" t="s">
        <v>277</v>
      </c>
      <c r="C284" s="46" t="s">
        <v>367</v>
      </c>
      <c r="D284" s="46" t="s">
        <v>279</v>
      </c>
    </row>
    <row r="285" spans="1:4">
      <c r="A285" s="46" t="s">
        <v>464</v>
      </c>
      <c r="B285" s="106" t="s">
        <v>277</v>
      </c>
      <c r="C285" s="46" t="s">
        <v>278</v>
      </c>
      <c r="D285" s="46" t="s">
        <v>279</v>
      </c>
    </row>
    <row r="286" spans="1:4">
      <c r="A286" s="46" t="s">
        <v>465</v>
      </c>
      <c r="B286" s="106" t="s">
        <v>277</v>
      </c>
      <c r="C286" s="46" t="s">
        <v>335</v>
      </c>
      <c r="D286" s="46" t="s">
        <v>332</v>
      </c>
    </row>
    <row r="287" spans="1:4">
      <c r="A287" s="46" t="s">
        <v>466</v>
      </c>
      <c r="B287" s="106" t="s">
        <v>277</v>
      </c>
      <c r="C287" s="46" t="s">
        <v>335</v>
      </c>
      <c r="D287" s="46" t="s">
        <v>332</v>
      </c>
    </row>
    <row r="288" spans="1:4">
      <c r="A288" s="46" t="s">
        <v>467</v>
      </c>
      <c r="B288" s="106" t="s">
        <v>277</v>
      </c>
      <c r="C288" s="46" t="s">
        <v>335</v>
      </c>
      <c r="D288" s="46" t="s">
        <v>332</v>
      </c>
    </row>
    <row r="289" spans="1:4">
      <c r="A289" s="46" t="s">
        <v>468</v>
      </c>
      <c r="B289" s="106" t="s">
        <v>277</v>
      </c>
      <c r="C289" s="46" t="s">
        <v>278</v>
      </c>
      <c r="D289" s="46" t="s">
        <v>279</v>
      </c>
    </row>
    <row r="290" spans="1:4">
      <c r="A290" s="46" t="s">
        <v>469</v>
      </c>
      <c r="B290" s="106" t="s">
        <v>277</v>
      </c>
      <c r="C290" s="46" t="s">
        <v>380</v>
      </c>
      <c r="D290" s="46" t="s">
        <v>46</v>
      </c>
    </row>
    <row r="291" spans="1:4">
      <c r="A291" s="46" t="s">
        <v>470</v>
      </c>
      <c r="B291" s="106" t="s">
        <v>277</v>
      </c>
      <c r="C291" s="46" t="s">
        <v>380</v>
      </c>
      <c r="D291" s="46" t="s">
        <v>46</v>
      </c>
    </row>
    <row r="292" spans="1:4">
      <c r="A292" s="46" t="s">
        <v>471</v>
      </c>
      <c r="B292" s="106" t="s">
        <v>277</v>
      </c>
      <c r="C292" s="46" t="s">
        <v>457</v>
      </c>
      <c r="D292" s="46" t="s">
        <v>272</v>
      </c>
    </row>
    <row r="293" spans="1:4">
      <c r="A293" s="46" t="s">
        <v>472</v>
      </c>
      <c r="B293" s="106" t="s">
        <v>277</v>
      </c>
      <c r="C293" s="46" t="s">
        <v>457</v>
      </c>
      <c r="D293" s="46" t="s">
        <v>272</v>
      </c>
    </row>
    <row r="294" spans="1:4">
      <c r="A294" s="46" t="s">
        <v>473</v>
      </c>
      <c r="B294" s="106" t="s">
        <v>277</v>
      </c>
      <c r="C294" s="46" t="s">
        <v>457</v>
      </c>
      <c r="D294" s="46" t="s">
        <v>474</v>
      </c>
    </row>
    <row r="295" spans="1:4">
      <c r="A295" s="46" t="s">
        <v>475</v>
      </c>
      <c r="B295" s="106" t="s">
        <v>277</v>
      </c>
      <c r="C295" s="46" t="s">
        <v>457</v>
      </c>
      <c r="D295" s="46" t="s">
        <v>272</v>
      </c>
    </row>
    <row r="296" spans="1:4">
      <c r="A296" s="46" t="s">
        <v>476</v>
      </c>
      <c r="B296" s="106" t="s">
        <v>277</v>
      </c>
      <c r="C296" s="46" t="s">
        <v>457</v>
      </c>
      <c r="D296" s="46" t="s">
        <v>272</v>
      </c>
    </row>
    <row r="297" spans="1:4">
      <c r="A297" s="46" t="s">
        <v>479</v>
      </c>
      <c r="B297" s="106" t="s">
        <v>277</v>
      </c>
      <c r="C297" s="46" t="s">
        <v>457</v>
      </c>
      <c r="D297" s="46" t="s">
        <v>478</v>
      </c>
    </row>
    <row r="298" spans="1:4">
      <c r="A298" s="46" t="s">
        <v>480</v>
      </c>
      <c r="B298" s="106" t="s">
        <v>277</v>
      </c>
      <c r="C298" s="46" t="s">
        <v>457</v>
      </c>
      <c r="D298" s="46" t="s">
        <v>478</v>
      </c>
    </row>
    <row r="299" spans="1:4">
      <c r="A299" s="46" t="s">
        <v>481</v>
      </c>
      <c r="B299" s="106" t="s">
        <v>277</v>
      </c>
      <c r="C299" s="46" t="s">
        <v>457</v>
      </c>
      <c r="D299" s="46" t="s">
        <v>478</v>
      </c>
    </row>
    <row r="300" spans="1:4">
      <c r="A300" s="46" t="s">
        <v>482</v>
      </c>
      <c r="B300" s="106" t="s">
        <v>277</v>
      </c>
      <c r="C300" s="46" t="s">
        <v>457</v>
      </c>
      <c r="D300" s="46" t="s">
        <v>478</v>
      </c>
    </row>
    <row r="301" spans="1:4">
      <c r="A301" s="46" t="s">
        <v>483</v>
      </c>
      <c r="B301" s="106" t="s">
        <v>277</v>
      </c>
      <c r="C301" s="46" t="s">
        <v>457</v>
      </c>
      <c r="D301" s="46" t="s">
        <v>478</v>
      </c>
    </row>
    <row r="302" spans="1:4">
      <c r="A302" s="46" t="s">
        <v>484</v>
      </c>
      <c r="B302" s="106" t="s">
        <v>277</v>
      </c>
      <c r="C302" s="46" t="s">
        <v>457</v>
      </c>
      <c r="D302" s="46" t="s">
        <v>474</v>
      </c>
    </row>
    <row r="303" spans="1:4">
      <c r="A303" s="46" t="s">
        <v>485</v>
      </c>
      <c r="B303" s="106" t="s">
        <v>277</v>
      </c>
      <c r="C303" s="46" t="s">
        <v>457</v>
      </c>
      <c r="D303" s="46" t="s">
        <v>478</v>
      </c>
    </row>
    <row r="304" spans="1:4">
      <c r="A304" s="46" t="s">
        <v>486</v>
      </c>
      <c r="B304" s="106" t="s">
        <v>277</v>
      </c>
      <c r="C304" s="46" t="s">
        <v>457</v>
      </c>
      <c r="D304" s="46" t="s">
        <v>478</v>
      </c>
    </row>
    <row r="305" spans="1:4">
      <c r="A305" s="46" t="s">
        <v>487</v>
      </c>
      <c r="B305" s="106" t="s">
        <v>277</v>
      </c>
      <c r="C305" s="46" t="s">
        <v>457</v>
      </c>
      <c r="D305" s="46" t="s">
        <v>478</v>
      </c>
    </row>
    <row r="306" spans="1:4">
      <c r="A306" s="46" t="s">
        <v>488</v>
      </c>
      <c r="B306" s="106" t="s">
        <v>277</v>
      </c>
      <c r="C306" s="46" t="s">
        <v>457</v>
      </c>
      <c r="D306" s="46" t="s">
        <v>478</v>
      </c>
    </row>
    <row r="307" spans="1:4">
      <c r="A307" s="46" t="s">
        <v>489</v>
      </c>
      <c r="B307" s="106" t="s">
        <v>277</v>
      </c>
      <c r="C307" s="46" t="s">
        <v>457</v>
      </c>
      <c r="D307" s="46" t="s">
        <v>478</v>
      </c>
    </row>
    <row r="308" spans="1:4">
      <c r="A308" s="46" t="s">
        <v>490</v>
      </c>
      <c r="B308" s="106" t="s">
        <v>277</v>
      </c>
      <c r="C308" s="46" t="s">
        <v>491</v>
      </c>
      <c r="D308" s="46" t="s">
        <v>478</v>
      </c>
    </row>
    <row r="309" spans="1:4">
      <c r="A309" s="46" t="s">
        <v>492</v>
      </c>
      <c r="B309" s="106" t="s">
        <v>277</v>
      </c>
      <c r="C309" s="46" t="s">
        <v>491</v>
      </c>
      <c r="D309" s="46" t="s">
        <v>478</v>
      </c>
    </row>
    <row r="310" spans="1:4">
      <c r="A310" s="46" t="s">
        <v>493</v>
      </c>
      <c r="B310" s="106" t="s">
        <v>277</v>
      </c>
      <c r="C310" s="46" t="s">
        <v>491</v>
      </c>
      <c r="D310" s="46" t="s">
        <v>478</v>
      </c>
    </row>
    <row r="311" spans="1:4">
      <c r="A311" s="46" t="s">
        <v>494</v>
      </c>
      <c r="B311" s="106" t="s">
        <v>277</v>
      </c>
      <c r="C311" s="46" t="s">
        <v>491</v>
      </c>
      <c r="D311" s="46" t="s">
        <v>478</v>
      </c>
    </row>
    <row r="312" spans="1:4">
      <c r="A312" s="46" t="s">
        <v>495</v>
      </c>
      <c r="B312" s="106" t="s">
        <v>277</v>
      </c>
      <c r="C312" s="46" t="s">
        <v>491</v>
      </c>
      <c r="D312" s="46" t="s">
        <v>478</v>
      </c>
    </row>
    <row r="313" spans="1:4">
      <c r="A313" s="46" t="s">
        <v>496</v>
      </c>
      <c r="B313" s="106" t="s">
        <v>277</v>
      </c>
      <c r="C313" s="46" t="s">
        <v>491</v>
      </c>
      <c r="D313" s="46" t="s">
        <v>478</v>
      </c>
    </row>
    <row r="314" spans="1:4">
      <c r="A314" s="46" t="s">
        <v>497</v>
      </c>
      <c r="B314" s="106" t="s">
        <v>277</v>
      </c>
      <c r="C314" s="46" t="s">
        <v>491</v>
      </c>
      <c r="D314" s="46" t="s">
        <v>478</v>
      </c>
    </row>
    <row r="315" spans="1:4">
      <c r="A315" s="46" t="s">
        <v>498</v>
      </c>
      <c r="B315" s="106" t="s">
        <v>277</v>
      </c>
      <c r="C315" s="46" t="s">
        <v>491</v>
      </c>
      <c r="D315" s="46" t="s">
        <v>478</v>
      </c>
    </row>
    <row r="316" spans="1:4">
      <c r="A316" s="46" t="s">
        <v>499</v>
      </c>
      <c r="B316" s="106" t="s">
        <v>277</v>
      </c>
      <c r="C316" s="46" t="s">
        <v>491</v>
      </c>
      <c r="D316" s="46" t="s">
        <v>478</v>
      </c>
    </row>
    <row r="317" spans="1:4">
      <c r="A317" s="46" t="s">
        <v>500</v>
      </c>
      <c r="B317" s="106" t="s">
        <v>277</v>
      </c>
      <c r="C317" s="46" t="s">
        <v>491</v>
      </c>
      <c r="D317" s="46" t="s">
        <v>478</v>
      </c>
    </row>
    <row r="318" spans="1:4">
      <c r="A318" s="46" t="s">
        <v>501</v>
      </c>
      <c r="B318" s="106" t="s">
        <v>277</v>
      </c>
      <c r="C318" s="46" t="s">
        <v>1126</v>
      </c>
      <c r="D318" s="46" t="s">
        <v>478</v>
      </c>
    </row>
    <row r="319" spans="1:4">
      <c r="A319" s="46" t="s">
        <v>502</v>
      </c>
      <c r="B319" s="106" t="s">
        <v>277</v>
      </c>
      <c r="C319" s="46" t="s">
        <v>1126</v>
      </c>
      <c r="D319" s="46" t="s">
        <v>477</v>
      </c>
    </row>
    <row r="320" spans="1:4">
      <c r="A320" s="46" t="s">
        <v>503</v>
      </c>
      <c r="B320" s="106" t="s">
        <v>277</v>
      </c>
      <c r="C320" s="46" t="s">
        <v>1126</v>
      </c>
      <c r="D320" s="46" t="s">
        <v>477</v>
      </c>
    </row>
    <row r="321" spans="1:4">
      <c r="A321" s="46" t="s">
        <v>504</v>
      </c>
      <c r="B321" s="106" t="s">
        <v>277</v>
      </c>
      <c r="C321" s="46" t="s">
        <v>1126</v>
      </c>
      <c r="D321" s="46" t="s">
        <v>477</v>
      </c>
    </row>
    <row r="322" spans="1:4">
      <c r="A322" s="46" t="s">
        <v>505</v>
      </c>
      <c r="B322" s="106" t="s">
        <v>277</v>
      </c>
      <c r="C322" s="46" t="s">
        <v>278</v>
      </c>
      <c r="D322" s="46" t="s">
        <v>279</v>
      </c>
    </row>
    <row r="323" spans="1:4">
      <c r="A323" s="46" t="s">
        <v>506</v>
      </c>
      <c r="B323" s="106" t="s">
        <v>277</v>
      </c>
      <c r="C323" s="46" t="s">
        <v>278</v>
      </c>
      <c r="D323" s="46" t="s">
        <v>279</v>
      </c>
    </row>
    <row r="324" spans="1:4">
      <c r="A324" s="46" t="s">
        <v>507</v>
      </c>
      <c r="B324" s="106" t="s">
        <v>277</v>
      </c>
      <c r="C324" s="46" t="s">
        <v>457</v>
      </c>
      <c r="D324" s="46" t="s">
        <v>474</v>
      </c>
    </row>
    <row r="325" spans="1:4">
      <c r="A325" s="46" t="s">
        <v>508</v>
      </c>
      <c r="B325" s="106" t="s">
        <v>277</v>
      </c>
      <c r="C325" s="46" t="s">
        <v>457</v>
      </c>
      <c r="D325" s="46" t="s">
        <v>474</v>
      </c>
    </row>
    <row r="326" spans="1:4">
      <c r="A326" s="46" t="s">
        <v>509</v>
      </c>
      <c r="B326" s="106" t="s">
        <v>277</v>
      </c>
      <c r="C326" s="46" t="s">
        <v>457</v>
      </c>
      <c r="D326" s="46" t="s">
        <v>474</v>
      </c>
    </row>
    <row r="327" spans="1:4">
      <c r="A327" s="46" t="s">
        <v>510</v>
      </c>
      <c r="B327" s="106" t="s">
        <v>277</v>
      </c>
      <c r="C327" s="46" t="s">
        <v>457</v>
      </c>
      <c r="D327" s="46" t="s">
        <v>474</v>
      </c>
    </row>
    <row r="328" spans="1:4">
      <c r="A328" s="46" t="s">
        <v>511</v>
      </c>
      <c r="B328" s="106" t="s">
        <v>277</v>
      </c>
      <c r="C328" s="46" t="s">
        <v>457</v>
      </c>
      <c r="D328" s="46" t="s">
        <v>474</v>
      </c>
    </row>
    <row r="329" spans="1:4">
      <c r="A329" s="46" t="s">
        <v>512</v>
      </c>
      <c r="B329" s="106" t="s">
        <v>277</v>
      </c>
      <c r="C329" s="46" t="s">
        <v>457</v>
      </c>
      <c r="D329" s="46" t="s">
        <v>474</v>
      </c>
    </row>
    <row r="330" spans="1:4">
      <c r="A330" s="46" t="s">
        <v>513</v>
      </c>
      <c r="B330" s="106" t="s">
        <v>277</v>
      </c>
      <c r="C330" s="46" t="s">
        <v>457</v>
      </c>
      <c r="D330" s="46" t="s">
        <v>474</v>
      </c>
    </row>
    <row r="331" spans="1:4">
      <c r="A331" s="46" t="s">
        <v>514</v>
      </c>
      <c r="B331" s="106" t="s">
        <v>277</v>
      </c>
      <c r="C331" s="46" t="s">
        <v>457</v>
      </c>
      <c r="D331" s="46" t="s">
        <v>474</v>
      </c>
    </row>
    <row r="332" spans="1:4">
      <c r="A332" s="46" t="s">
        <v>515</v>
      </c>
      <c r="B332" s="106" t="s">
        <v>277</v>
      </c>
      <c r="C332" s="46" t="s">
        <v>457</v>
      </c>
      <c r="D332" s="46" t="s">
        <v>474</v>
      </c>
    </row>
    <row r="333" spans="1:4">
      <c r="A333" s="46" t="s">
        <v>516</v>
      </c>
      <c r="B333" s="106" t="s">
        <v>277</v>
      </c>
      <c r="C333" s="46" t="s">
        <v>457</v>
      </c>
      <c r="D333" s="46" t="s">
        <v>474</v>
      </c>
    </row>
    <row r="334" spans="1:4">
      <c r="A334" s="46" t="s">
        <v>517</v>
      </c>
      <c r="B334" s="106" t="s">
        <v>277</v>
      </c>
      <c r="C334" s="46" t="s">
        <v>457</v>
      </c>
      <c r="D334" s="46" t="s">
        <v>474</v>
      </c>
    </row>
    <row r="335" spans="1:4">
      <c r="A335" s="46" t="s">
        <v>518</v>
      </c>
      <c r="B335" s="106" t="s">
        <v>277</v>
      </c>
      <c r="C335" s="46" t="s">
        <v>457</v>
      </c>
      <c r="D335" s="46" t="s">
        <v>474</v>
      </c>
    </row>
    <row r="336" spans="1:4">
      <c r="A336" s="46" t="s">
        <v>519</v>
      </c>
      <c r="B336" s="106" t="s">
        <v>277</v>
      </c>
      <c r="C336" s="46" t="s">
        <v>457</v>
      </c>
      <c r="D336" s="46" t="s">
        <v>474</v>
      </c>
    </row>
    <row r="337" spans="1:4">
      <c r="A337" s="46" t="s">
        <v>520</v>
      </c>
      <c r="B337" s="106" t="s">
        <v>277</v>
      </c>
      <c r="C337" s="46" t="s">
        <v>1126</v>
      </c>
      <c r="D337" s="46" t="s">
        <v>474</v>
      </c>
    </row>
    <row r="338" spans="1:4">
      <c r="A338" s="46" t="s">
        <v>521</v>
      </c>
      <c r="B338" s="106" t="s">
        <v>277</v>
      </c>
      <c r="C338" s="46" t="s">
        <v>1126</v>
      </c>
      <c r="D338" s="46" t="s">
        <v>527</v>
      </c>
    </row>
    <row r="339" spans="1:4">
      <c r="A339" s="46" t="s">
        <v>522</v>
      </c>
      <c r="B339" s="106" t="s">
        <v>277</v>
      </c>
      <c r="C339" s="46" t="s">
        <v>1126</v>
      </c>
      <c r="D339" s="46" t="s">
        <v>474</v>
      </c>
    </row>
    <row r="340" spans="1:4">
      <c r="A340" s="46" t="s">
        <v>523</v>
      </c>
      <c r="B340" s="106" t="s">
        <v>277</v>
      </c>
      <c r="C340" s="46" t="s">
        <v>1126</v>
      </c>
      <c r="D340" s="46" t="s">
        <v>474</v>
      </c>
    </row>
    <row r="341" spans="1:4">
      <c r="A341" s="46" t="s">
        <v>524</v>
      </c>
      <c r="B341" s="106" t="s">
        <v>277</v>
      </c>
      <c r="C341" s="46" t="s">
        <v>1126</v>
      </c>
      <c r="D341" s="46" t="s">
        <v>474</v>
      </c>
    </row>
    <row r="342" spans="1:4">
      <c r="A342" s="46" t="s">
        <v>525</v>
      </c>
      <c r="B342" s="106" t="s">
        <v>277</v>
      </c>
      <c r="C342" s="46" t="s">
        <v>1126</v>
      </c>
      <c r="D342" s="46" t="s">
        <v>474</v>
      </c>
    </row>
    <row r="343" spans="1:4">
      <c r="A343" s="46" t="s">
        <v>526</v>
      </c>
      <c r="B343" s="106" t="s">
        <v>277</v>
      </c>
      <c r="C343" s="46" t="s">
        <v>1126</v>
      </c>
      <c r="D343" s="46" t="s">
        <v>474</v>
      </c>
    </row>
    <row r="344" spans="1:4">
      <c r="A344" s="46" t="s">
        <v>528</v>
      </c>
      <c r="B344" s="106" t="s">
        <v>277</v>
      </c>
      <c r="C344" s="46" t="s">
        <v>1126</v>
      </c>
      <c r="D344" s="46" t="s">
        <v>527</v>
      </c>
    </row>
    <row r="345" spans="1:4">
      <c r="A345" s="46" t="s">
        <v>529</v>
      </c>
      <c r="B345" s="106" t="s">
        <v>277</v>
      </c>
      <c r="C345" s="46" t="s">
        <v>1126</v>
      </c>
      <c r="D345" s="46" t="s">
        <v>527</v>
      </c>
    </row>
    <row r="346" spans="1:4">
      <c r="A346" s="46" t="s">
        <v>530</v>
      </c>
      <c r="B346" s="106" t="s">
        <v>277</v>
      </c>
      <c r="C346" s="46" t="s">
        <v>1126</v>
      </c>
      <c r="D346" s="46" t="s">
        <v>527</v>
      </c>
    </row>
    <row r="347" spans="1:4">
      <c r="A347" s="46" t="s">
        <v>531</v>
      </c>
      <c r="B347" s="106" t="s">
        <v>277</v>
      </c>
      <c r="C347" s="46" t="s">
        <v>1126</v>
      </c>
      <c r="D347" s="46" t="s">
        <v>527</v>
      </c>
    </row>
    <row r="348" spans="1:4">
      <c r="A348" s="46" t="s">
        <v>532</v>
      </c>
      <c r="B348" s="106" t="s">
        <v>277</v>
      </c>
      <c r="C348" s="46" t="s">
        <v>1126</v>
      </c>
      <c r="D348" s="46" t="s">
        <v>527</v>
      </c>
    </row>
    <row r="349" spans="1:4">
      <c r="A349" s="46" t="s">
        <v>533</v>
      </c>
      <c r="B349" s="106" t="s">
        <v>277</v>
      </c>
      <c r="C349" s="46" t="s">
        <v>1126</v>
      </c>
      <c r="D349" s="46" t="s">
        <v>527</v>
      </c>
    </row>
    <row r="350" spans="1:4">
      <c r="A350" s="46" t="s">
        <v>534</v>
      </c>
      <c r="B350" s="106" t="s">
        <v>277</v>
      </c>
      <c r="C350" s="46" t="s">
        <v>1126</v>
      </c>
      <c r="D350" s="46" t="s">
        <v>527</v>
      </c>
    </row>
    <row r="351" spans="1:4">
      <c r="A351" s="46" t="s">
        <v>535</v>
      </c>
      <c r="B351" s="106" t="s">
        <v>277</v>
      </c>
      <c r="C351" s="46" t="s">
        <v>1126</v>
      </c>
      <c r="D351" s="46" t="s">
        <v>527</v>
      </c>
    </row>
    <row r="352" spans="1:4">
      <c r="A352" s="46" t="s">
        <v>536</v>
      </c>
      <c r="B352" s="106" t="s">
        <v>277</v>
      </c>
      <c r="C352" s="46" t="s">
        <v>1126</v>
      </c>
      <c r="D352" s="46" t="s">
        <v>527</v>
      </c>
    </row>
    <row r="353" spans="1:4">
      <c r="A353" s="46" t="s">
        <v>537</v>
      </c>
      <c r="B353" s="106" t="s">
        <v>277</v>
      </c>
      <c r="C353" s="46" t="s">
        <v>1126</v>
      </c>
      <c r="D353" s="46" t="s">
        <v>474</v>
      </c>
    </row>
    <row r="354" spans="1:4">
      <c r="A354" s="46" t="s">
        <v>538</v>
      </c>
      <c r="B354" s="106" t="s">
        <v>277</v>
      </c>
      <c r="C354" s="46" t="s">
        <v>1126</v>
      </c>
      <c r="D354" s="46" t="s">
        <v>474</v>
      </c>
    </row>
    <row r="355" spans="1:4">
      <c r="A355" s="46" t="s">
        <v>539</v>
      </c>
      <c r="B355" s="106" t="s">
        <v>277</v>
      </c>
      <c r="C355" s="46" t="s">
        <v>1126</v>
      </c>
      <c r="D355" s="46" t="s">
        <v>474</v>
      </c>
    </row>
    <row r="356" spans="1:4">
      <c r="A356" s="46" t="s">
        <v>540</v>
      </c>
      <c r="B356" s="106" t="s">
        <v>277</v>
      </c>
      <c r="C356" s="46" t="s">
        <v>367</v>
      </c>
      <c r="D356" s="46" t="s">
        <v>279</v>
      </c>
    </row>
    <row r="357" spans="1:4">
      <c r="A357" s="46" t="s">
        <v>541</v>
      </c>
      <c r="B357" s="106" t="s">
        <v>277</v>
      </c>
      <c r="C357" s="46" t="s">
        <v>455</v>
      </c>
      <c r="D357" s="46" t="s">
        <v>279</v>
      </c>
    </row>
    <row r="358" spans="1:4">
      <c r="A358" s="46" t="s">
        <v>542</v>
      </c>
      <c r="B358" s="106" t="s">
        <v>277</v>
      </c>
      <c r="C358" s="46" t="s">
        <v>1126</v>
      </c>
      <c r="D358" s="46" t="s">
        <v>477</v>
      </c>
    </row>
    <row r="359" spans="1:4">
      <c r="A359" s="46" t="s">
        <v>543</v>
      </c>
      <c r="B359" s="106" t="s">
        <v>277</v>
      </c>
      <c r="C359" s="46" t="s">
        <v>544</v>
      </c>
      <c r="D359" s="87" t="s">
        <v>527</v>
      </c>
    </row>
    <row r="360" spans="1:4">
      <c r="A360" s="46" t="s">
        <v>545</v>
      </c>
      <c r="B360" s="106" t="s">
        <v>277</v>
      </c>
      <c r="C360" s="46" t="s">
        <v>544</v>
      </c>
      <c r="D360" s="46" t="s">
        <v>527</v>
      </c>
    </row>
    <row r="361" spans="1:4">
      <c r="A361" s="46" t="s">
        <v>546</v>
      </c>
      <c r="B361" s="106" t="s">
        <v>277</v>
      </c>
      <c r="C361" s="46" t="s">
        <v>544</v>
      </c>
      <c r="D361" s="46" t="s">
        <v>527</v>
      </c>
    </row>
    <row r="362" spans="1:4">
      <c r="A362" s="46" t="s">
        <v>547</v>
      </c>
      <c r="B362" s="106" t="s">
        <v>277</v>
      </c>
      <c r="C362" s="46" t="s">
        <v>544</v>
      </c>
      <c r="D362" s="46" t="s">
        <v>527</v>
      </c>
    </row>
    <row r="363" spans="1:4">
      <c r="A363" s="46" t="s">
        <v>548</v>
      </c>
      <c r="B363" s="106" t="s">
        <v>277</v>
      </c>
      <c r="C363" s="46" t="s">
        <v>544</v>
      </c>
      <c r="D363" s="46" t="s">
        <v>527</v>
      </c>
    </row>
    <row r="364" spans="1:4">
      <c r="A364" s="46" t="s">
        <v>549</v>
      </c>
      <c r="B364" s="106" t="s">
        <v>277</v>
      </c>
      <c r="C364" s="46" t="s">
        <v>544</v>
      </c>
      <c r="D364" s="46" t="s">
        <v>527</v>
      </c>
    </row>
    <row r="365" spans="1:4">
      <c r="A365" s="46" t="s">
        <v>550</v>
      </c>
      <c r="B365" s="106" t="s">
        <v>277</v>
      </c>
      <c r="C365" s="46" t="s">
        <v>544</v>
      </c>
      <c r="D365" s="46" t="s">
        <v>527</v>
      </c>
    </row>
    <row r="366" spans="1:4">
      <c r="A366" s="46" t="s">
        <v>551</v>
      </c>
      <c r="B366" s="106" t="s">
        <v>277</v>
      </c>
      <c r="C366" s="46" t="s">
        <v>544</v>
      </c>
      <c r="D366" s="46" t="s">
        <v>527</v>
      </c>
    </row>
    <row r="367" spans="1:4">
      <c r="A367" s="46" t="s">
        <v>552</v>
      </c>
      <c r="B367" s="106" t="s">
        <v>277</v>
      </c>
      <c r="C367" s="46" t="s">
        <v>544</v>
      </c>
      <c r="D367" s="46" t="s">
        <v>474</v>
      </c>
    </row>
    <row r="368" spans="1:4">
      <c r="A368" s="48" t="s">
        <v>553</v>
      </c>
      <c r="B368" s="106" t="s">
        <v>277</v>
      </c>
      <c r="C368" s="48" t="s">
        <v>544</v>
      </c>
      <c r="D368" s="48" t="s">
        <v>474</v>
      </c>
    </row>
    <row r="369" spans="1:4">
      <c r="A369" s="48" t="s">
        <v>554</v>
      </c>
      <c r="B369" s="106" t="s">
        <v>277</v>
      </c>
      <c r="C369" s="48" t="s">
        <v>544</v>
      </c>
      <c r="D369" s="48" t="s">
        <v>474</v>
      </c>
    </row>
    <row r="370" spans="1:4">
      <c r="A370" s="48" t="s">
        <v>555</v>
      </c>
      <c r="B370" s="106" t="s">
        <v>277</v>
      </c>
      <c r="C370" s="48" t="s">
        <v>544</v>
      </c>
      <c r="D370" s="48" t="s">
        <v>474</v>
      </c>
    </row>
    <row r="371" spans="1:4">
      <c r="A371" s="48" t="s">
        <v>556</v>
      </c>
      <c r="B371" s="106" t="s">
        <v>277</v>
      </c>
      <c r="C371" s="48" t="s">
        <v>544</v>
      </c>
      <c r="D371" s="48" t="s">
        <v>474</v>
      </c>
    </row>
    <row r="372" spans="1:4">
      <c r="A372" s="48" t="s">
        <v>557</v>
      </c>
      <c r="B372" s="106" t="s">
        <v>277</v>
      </c>
      <c r="C372" s="48" t="s">
        <v>544</v>
      </c>
      <c r="D372" s="48" t="s">
        <v>474</v>
      </c>
    </row>
    <row r="373" spans="1:4">
      <c r="A373" s="48" t="s">
        <v>558</v>
      </c>
      <c r="B373" s="106" t="s">
        <v>277</v>
      </c>
      <c r="C373" s="48" t="s">
        <v>544</v>
      </c>
      <c r="D373" s="48" t="s">
        <v>474</v>
      </c>
    </row>
    <row r="374" spans="1:4">
      <c r="A374" s="48" t="s">
        <v>559</v>
      </c>
      <c r="B374" s="106" t="s">
        <v>277</v>
      </c>
      <c r="C374" s="48" t="s">
        <v>544</v>
      </c>
      <c r="D374" s="48" t="s">
        <v>474</v>
      </c>
    </row>
    <row r="375" spans="1:4">
      <c r="A375" s="48" t="s">
        <v>560</v>
      </c>
      <c r="B375" s="106" t="s">
        <v>277</v>
      </c>
      <c r="C375" s="48" t="s">
        <v>544</v>
      </c>
      <c r="D375" s="48" t="s">
        <v>474</v>
      </c>
    </row>
    <row r="376" spans="1:4">
      <c r="A376" s="48" t="s">
        <v>561</v>
      </c>
      <c r="B376" s="106" t="s">
        <v>277</v>
      </c>
      <c r="C376" s="48" t="s">
        <v>544</v>
      </c>
      <c r="D376" s="48" t="s">
        <v>474</v>
      </c>
    </row>
    <row r="377" spans="1:4">
      <c r="A377" s="48" t="s">
        <v>562</v>
      </c>
      <c r="B377" s="106" t="s">
        <v>277</v>
      </c>
      <c r="C377" s="48" t="s">
        <v>544</v>
      </c>
      <c r="D377" s="48" t="s">
        <v>474</v>
      </c>
    </row>
    <row r="378" spans="1:4">
      <c r="A378" s="48" t="s">
        <v>563</v>
      </c>
      <c r="B378" s="106" t="s">
        <v>277</v>
      </c>
      <c r="C378" s="48" t="s">
        <v>544</v>
      </c>
      <c r="D378" s="48" t="s">
        <v>474</v>
      </c>
    </row>
    <row r="379" spans="1:4">
      <c r="A379" s="48" t="s">
        <v>564</v>
      </c>
      <c r="B379" s="106" t="s">
        <v>277</v>
      </c>
      <c r="C379" s="48" t="s">
        <v>278</v>
      </c>
      <c r="D379" s="48" t="s">
        <v>46</v>
      </c>
    </row>
    <row r="380" spans="1:4">
      <c r="A380" s="48" t="s">
        <v>565</v>
      </c>
      <c r="B380" s="106" t="s">
        <v>277</v>
      </c>
      <c r="C380" s="48" t="s">
        <v>359</v>
      </c>
      <c r="D380" s="48" t="s">
        <v>165</v>
      </c>
    </row>
    <row r="381" spans="1:4">
      <c r="A381" s="48" t="s">
        <v>566</v>
      </c>
      <c r="B381" s="106" t="s">
        <v>277</v>
      </c>
      <c r="C381" s="48" t="s">
        <v>359</v>
      </c>
      <c r="D381" s="48" t="s">
        <v>165</v>
      </c>
    </row>
    <row r="382" spans="1:4">
      <c r="A382" s="48" t="s">
        <v>567</v>
      </c>
      <c r="B382" s="106" t="s">
        <v>277</v>
      </c>
      <c r="C382" s="48" t="s">
        <v>359</v>
      </c>
      <c r="D382" s="48" t="s">
        <v>165</v>
      </c>
    </row>
    <row r="383" spans="1:4">
      <c r="A383" s="48" t="s">
        <v>568</v>
      </c>
      <c r="B383" s="106" t="s">
        <v>277</v>
      </c>
      <c r="C383" s="48" t="s">
        <v>278</v>
      </c>
      <c r="D383" s="48" t="s">
        <v>154</v>
      </c>
    </row>
    <row r="384" spans="1:4">
      <c r="A384" s="48" t="s">
        <v>569</v>
      </c>
      <c r="B384" s="106" t="s">
        <v>277</v>
      </c>
      <c r="C384" s="48" t="s">
        <v>367</v>
      </c>
      <c r="D384" s="48" t="s">
        <v>279</v>
      </c>
    </row>
    <row r="385" spans="1:4">
      <c r="A385" s="48" t="s">
        <v>75</v>
      </c>
      <c r="B385" s="106" t="s">
        <v>277</v>
      </c>
      <c r="C385" s="48" t="s">
        <v>455</v>
      </c>
      <c r="D385" s="48" t="s">
        <v>125</v>
      </c>
    </row>
    <row r="386" spans="1:4">
      <c r="A386" s="48" t="s">
        <v>570</v>
      </c>
      <c r="B386" s="106" t="s">
        <v>277</v>
      </c>
      <c r="C386" s="48" t="s">
        <v>278</v>
      </c>
      <c r="D386" s="48" t="s">
        <v>46</v>
      </c>
    </row>
    <row r="387" spans="1:4">
      <c r="A387" s="48" t="s">
        <v>571</v>
      </c>
      <c r="B387" s="106" t="s">
        <v>277</v>
      </c>
      <c r="C387" s="48" t="s">
        <v>455</v>
      </c>
      <c r="D387" s="48" t="s">
        <v>279</v>
      </c>
    </row>
    <row r="388" spans="1:4">
      <c r="A388" s="48" t="s">
        <v>572</v>
      </c>
      <c r="B388" s="106" t="s">
        <v>277</v>
      </c>
      <c r="C388" s="48" t="s">
        <v>455</v>
      </c>
      <c r="D388" s="48" t="s">
        <v>279</v>
      </c>
    </row>
    <row r="389" spans="1:4">
      <c r="A389" s="48" t="s">
        <v>573</v>
      </c>
      <c r="B389" s="106" t="s">
        <v>277</v>
      </c>
      <c r="C389" s="48" t="s">
        <v>380</v>
      </c>
      <c r="D389" s="48" t="s">
        <v>46</v>
      </c>
    </row>
    <row r="390" spans="1:4">
      <c r="A390" s="48" t="s">
        <v>574</v>
      </c>
      <c r="B390" s="106" t="s">
        <v>277</v>
      </c>
      <c r="C390" s="48" t="s">
        <v>380</v>
      </c>
      <c r="D390" s="48" t="s">
        <v>46</v>
      </c>
    </row>
    <row r="391" spans="1:4">
      <c r="A391" s="48" t="s">
        <v>575</v>
      </c>
      <c r="B391" s="106" t="s">
        <v>277</v>
      </c>
      <c r="C391" s="48" t="s">
        <v>455</v>
      </c>
      <c r="D391" s="48" t="s">
        <v>279</v>
      </c>
    </row>
    <row r="392" spans="1:4">
      <c r="A392" s="48" t="s">
        <v>33</v>
      </c>
      <c r="B392" s="106" t="s">
        <v>277</v>
      </c>
      <c r="C392" s="48" t="s">
        <v>380</v>
      </c>
      <c r="D392" s="48" t="s">
        <v>46</v>
      </c>
    </row>
    <row r="393" spans="1:4">
      <c r="A393" s="48" t="s">
        <v>576</v>
      </c>
      <c r="B393" s="106" t="s">
        <v>277</v>
      </c>
      <c r="C393" s="48" t="s">
        <v>367</v>
      </c>
      <c r="D393" s="48" t="s">
        <v>279</v>
      </c>
    </row>
    <row r="394" spans="1:4">
      <c r="A394" s="48" t="s">
        <v>577</v>
      </c>
      <c r="B394" s="106" t="s">
        <v>277</v>
      </c>
      <c r="C394" s="48" t="s">
        <v>367</v>
      </c>
      <c r="D394" s="48" t="s">
        <v>279</v>
      </c>
    </row>
    <row r="395" spans="1:4">
      <c r="A395" s="48" t="s">
        <v>89</v>
      </c>
      <c r="B395" s="106" t="s">
        <v>277</v>
      </c>
      <c r="C395" s="48" t="s">
        <v>380</v>
      </c>
      <c r="D395" s="48" t="s">
        <v>46</v>
      </c>
    </row>
    <row r="396" spans="1:4">
      <c r="A396" s="48" t="s">
        <v>578</v>
      </c>
      <c r="B396" s="106" t="s">
        <v>277</v>
      </c>
      <c r="C396" s="48" t="s">
        <v>278</v>
      </c>
      <c r="D396" s="48" t="s">
        <v>147</v>
      </c>
    </row>
    <row r="397" spans="1:4">
      <c r="A397" s="48" t="s">
        <v>579</v>
      </c>
      <c r="B397" s="106" t="s">
        <v>277</v>
      </c>
      <c r="C397" s="48" t="s">
        <v>367</v>
      </c>
      <c r="D397" s="48" t="s">
        <v>279</v>
      </c>
    </row>
    <row r="398" spans="1:4">
      <c r="A398" s="48" t="s">
        <v>49</v>
      </c>
      <c r="B398" s="106" t="s">
        <v>277</v>
      </c>
      <c r="C398" s="48" t="s">
        <v>359</v>
      </c>
      <c r="D398" s="48" t="s">
        <v>165</v>
      </c>
    </row>
    <row r="399" spans="1:4">
      <c r="A399" s="48" t="s">
        <v>580</v>
      </c>
      <c r="B399" s="106" t="s">
        <v>277</v>
      </c>
      <c r="C399" s="48" t="s">
        <v>278</v>
      </c>
      <c r="D399" s="48" t="s">
        <v>279</v>
      </c>
    </row>
    <row r="400" spans="1:4">
      <c r="A400" s="48" t="s">
        <v>581</v>
      </c>
      <c r="B400" s="106" t="s">
        <v>277</v>
      </c>
      <c r="C400" s="48" t="s">
        <v>1126</v>
      </c>
      <c r="D400" s="48" t="s">
        <v>294</v>
      </c>
    </row>
    <row r="401" spans="1:4">
      <c r="A401" s="48" t="s">
        <v>582</v>
      </c>
      <c r="B401" s="106" t="s">
        <v>277</v>
      </c>
      <c r="C401" s="48" t="s">
        <v>335</v>
      </c>
      <c r="D401" s="48" t="s">
        <v>292</v>
      </c>
    </row>
    <row r="402" spans="1:4">
      <c r="A402" s="48" t="s">
        <v>583</v>
      </c>
      <c r="B402" s="106" t="s">
        <v>277</v>
      </c>
      <c r="C402" s="48" t="s">
        <v>335</v>
      </c>
      <c r="D402" s="48" t="s">
        <v>292</v>
      </c>
    </row>
    <row r="403" spans="1:4">
      <c r="A403" s="48" t="s">
        <v>1130</v>
      </c>
      <c r="B403" s="106" t="s">
        <v>277</v>
      </c>
      <c r="C403" s="48" t="s">
        <v>359</v>
      </c>
      <c r="D403" s="48" t="s">
        <v>165</v>
      </c>
    </row>
    <row r="404" spans="1:4">
      <c r="A404" s="48" t="s">
        <v>1098</v>
      </c>
      <c r="B404" s="106" t="s">
        <v>277</v>
      </c>
      <c r="C404" s="48" t="s">
        <v>335</v>
      </c>
      <c r="D404" s="48" t="s">
        <v>292</v>
      </c>
    </row>
    <row r="405" spans="1:4">
      <c r="A405" s="48" t="s">
        <v>1131</v>
      </c>
      <c r="B405" s="106" t="s">
        <v>277</v>
      </c>
      <c r="C405" s="48" t="s">
        <v>335</v>
      </c>
      <c r="D405" s="99" t="s">
        <v>165</v>
      </c>
    </row>
    <row r="406" spans="1:4">
      <c r="A406" s="48" t="s">
        <v>1132</v>
      </c>
      <c r="B406" s="106" t="s">
        <v>277</v>
      </c>
      <c r="C406" s="48" t="s">
        <v>335</v>
      </c>
      <c r="D406" s="48" t="s">
        <v>165</v>
      </c>
    </row>
    <row r="407" spans="1:4">
      <c r="A407" s="48" t="s">
        <v>1133</v>
      </c>
      <c r="B407" s="106" t="s">
        <v>277</v>
      </c>
      <c r="C407" s="48" t="s">
        <v>335</v>
      </c>
      <c r="D407" s="48" t="s">
        <v>292</v>
      </c>
    </row>
    <row r="408" spans="1:4">
      <c r="A408" s="48" t="s">
        <v>1134</v>
      </c>
      <c r="B408" s="106" t="s">
        <v>277</v>
      </c>
      <c r="C408" s="48" t="s">
        <v>1126</v>
      </c>
      <c r="D408" s="48" t="s">
        <v>527</v>
      </c>
    </row>
    <row r="409" spans="1:4">
      <c r="A409" s="48" t="s">
        <v>1135</v>
      </c>
      <c r="B409" s="106" t="s">
        <v>277</v>
      </c>
      <c r="C409" s="48" t="s">
        <v>335</v>
      </c>
      <c r="D409" s="48" t="s">
        <v>292</v>
      </c>
    </row>
    <row r="410" spans="1:4">
      <c r="A410" s="48" t="s">
        <v>1104</v>
      </c>
      <c r="B410" s="106" t="s">
        <v>277</v>
      </c>
      <c r="C410" s="48" t="s">
        <v>335</v>
      </c>
      <c r="D410" s="48" t="s">
        <v>292</v>
      </c>
    </row>
    <row r="411" spans="1:4">
      <c r="A411" s="48" t="s">
        <v>1136</v>
      </c>
      <c r="B411" s="106" t="s">
        <v>277</v>
      </c>
      <c r="C411" s="48" t="s">
        <v>359</v>
      </c>
      <c r="D411" s="48" t="s">
        <v>165</v>
      </c>
    </row>
    <row r="412" spans="1:4">
      <c r="A412" s="48" t="s">
        <v>1137</v>
      </c>
      <c r="B412" s="106" t="s">
        <v>277</v>
      </c>
      <c r="C412" s="48" t="s">
        <v>335</v>
      </c>
      <c r="D412" s="48" t="s">
        <v>478</v>
      </c>
    </row>
    <row r="413" spans="1:4">
      <c r="A413" s="48" t="s">
        <v>1138</v>
      </c>
      <c r="B413" s="106" t="s">
        <v>277</v>
      </c>
      <c r="C413" s="48" t="s">
        <v>335</v>
      </c>
      <c r="D413" s="48" t="s">
        <v>478</v>
      </c>
    </row>
    <row r="414" spans="1:4">
      <c r="A414" s="48" t="s">
        <v>1139</v>
      </c>
      <c r="B414" s="106" t="s">
        <v>277</v>
      </c>
      <c r="C414" s="48" t="s">
        <v>335</v>
      </c>
      <c r="D414" s="48" t="s">
        <v>478</v>
      </c>
    </row>
    <row r="415" spans="1:4">
      <c r="A415" s="48" t="s">
        <v>1140</v>
      </c>
      <c r="B415" s="106" t="s">
        <v>277</v>
      </c>
      <c r="C415" s="48" t="s">
        <v>1126</v>
      </c>
      <c r="D415" s="100" t="s">
        <v>477</v>
      </c>
    </row>
    <row r="416" spans="1:4">
      <c r="A416" s="48" t="s">
        <v>1141</v>
      </c>
      <c r="B416" s="106" t="s">
        <v>277</v>
      </c>
      <c r="C416" s="48" t="s">
        <v>1126</v>
      </c>
      <c r="D416" s="48" t="s">
        <v>477</v>
      </c>
    </row>
    <row r="417" spans="1:4">
      <c r="A417" s="48" t="s">
        <v>1142</v>
      </c>
      <c r="B417" s="106" t="s">
        <v>277</v>
      </c>
      <c r="C417" s="48" t="s">
        <v>1126</v>
      </c>
      <c r="D417" s="48" t="s">
        <v>477</v>
      </c>
    </row>
    <row r="418" spans="1:4">
      <c r="A418" s="48" t="s">
        <v>1143</v>
      </c>
      <c r="B418" s="106" t="s">
        <v>277</v>
      </c>
      <c r="C418" s="48" t="s">
        <v>1126</v>
      </c>
      <c r="D418" s="48" t="s">
        <v>478</v>
      </c>
    </row>
    <row r="419" spans="1:4">
      <c r="A419" s="48" t="s">
        <v>1122</v>
      </c>
      <c r="B419" s="106" t="s">
        <v>277</v>
      </c>
      <c r="C419" s="48" t="s">
        <v>1126</v>
      </c>
      <c r="D419" s="48" t="s">
        <v>478</v>
      </c>
    </row>
    <row r="420" spans="1:4">
      <c r="A420" s="48" t="s">
        <v>1105</v>
      </c>
      <c r="B420" s="106" t="s">
        <v>277</v>
      </c>
      <c r="C420" s="48" t="s">
        <v>335</v>
      </c>
      <c r="D420" s="48" t="s">
        <v>478</v>
      </c>
    </row>
    <row r="421" spans="1:4">
      <c r="A421" s="48" t="s">
        <v>1144</v>
      </c>
      <c r="B421" s="106" t="s">
        <v>277</v>
      </c>
      <c r="C421" s="48" t="s">
        <v>1126</v>
      </c>
      <c r="D421" s="48" t="s">
        <v>478</v>
      </c>
    </row>
    <row r="422" spans="1:4">
      <c r="A422" s="48" t="s">
        <v>1145</v>
      </c>
      <c r="B422" s="106" t="s">
        <v>277</v>
      </c>
      <c r="C422" s="48" t="s">
        <v>335</v>
      </c>
      <c r="D422" s="48" t="s">
        <v>478</v>
      </c>
    </row>
    <row r="423" spans="1:4">
      <c r="A423" s="48" t="s">
        <v>1146</v>
      </c>
      <c r="B423" s="106" t="s">
        <v>277</v>
      </c>
      <c r="C423" s="48" t="s">
        <v>1126</v>
      </c>
      <c r="D423" s="48" t="s">
        <v>478</v>
      </c>
    </row>
    <row r="424" spans="1:4">
      <c r="A424" s="48" t="s">
        <v>1147</v>
      </c>
      <c r="B424" s="106" t="s">
        <v>277</v>
      </c>
      <c r="C424" s="48" t="s">
        <v>1126</v>
      </c>
      <c r="D424" s="48" t="s">
        <v>478</v>
      </c>
    </row>
    <row r="425" spans="1:4">
      <c r="A425" s="48" t="s">
        <v>1148</v>
      </c>
      <c r="B425" s="106" t="s">
        <v>277</v>
      </c>
      <c r="C425" s="48" t="s">
        <v>335</v>
      </c>
      <c r="D425" s="48" t="s">
        <v>478</v>
      </c>
    </row>
    <row r="426" spans="1:4">
      <c r="A426" s="48" t="s">
        <v>1103</v>
      </c>
      <c r="B426" s="106" t="s">
        <v>277</v>
      </c>
      <c r="C426" s="48" t="s">
        <v>335</v>
      </c>
      <c r="D426" s="48" t="s">
        <v>478</v>
      </c>
    </row>
    <row r="427" spans="1:4">
      <c r="A427" s="48" t="s">
        <v>1149</v>
      </c>
      <c r="B427" s="106" t="s">
        <v>277</v>
      </c>
      <c r="C427" s="48" t="s">
        <v>335</v>
      </c>
      <c r="D427" s="48" t="s">
        <v>478</v>
      </c>
    </row>
    <row r="428" spans="1:4">
      <c r="A428" s="48" t="s">
        <v>1150</v>
      </c>
      <c r="B428" s="106" t="s">
        <v>277</v>
      </c>
      <c r="C428" s="48" t="s">
        <v>1126</v>
      </c>
      <c r="D428" s="48" t="s">
        <v>478</v>
      </c>
    </row>
    <row r="429" spans="1:4">
      <c r="A429" s="48" t="s">
        <v>1151</v>
      </c>
      <c r="B429" s="106" t="s">
        <v>277</v>
      </c>
      <c r="C429" s="48" t="s">
        <v>1126</v>
      </c>
      <c r="D429" s="48" t="s">
        <v>478</v>
      </c>
    </row>
    <row r="430" spans="1:4">
      <c r="A430" s="48" t="s">
        <v>1152</v>
      </c>
      <c r="B430" s="106" t="s">
        <v>277</v>
      </c>
      <c r="C430" s="48" t="s">
        <v>335</v>
      </c>
      <c r="D430" s="48" t="s">
        <v>474</v>
      </c>
    </row>
    <row r="431" spans="1:4">
      <c r="A431" s="48" t="s">
        <v>1153</v>
      </c>
      <c r="B431" s="106" t="s">
        <v>277</v>
      </c>
      <c r="C431" s="48" t="s">
        <v>335</v>
      </c>
      <c r="D431" s="48" t="s">
        <v>474</v>
      </c>
    </row>
    <row r="432" spans="1:4">
      <c r="A432" s="48" t="s">
        <v>1154</v>
      </c>
      <c r="B432" s="106" t="s">
        <v>277</v>
      </c>
      <c r="C432" s="48" t="s">
        <v>335</v>
      </c>
      <c r="D432" s="48" t="s">
        <v>165</v>
      </c>
    </row>
    <row r="433" spans="1:4">
      <c r="A433" s="48" t="s">
        <v>1155</v>
      </c>
      <c r="B433" s="106" t="s">
        <v>277</v>
      </c>
      <c r="C433" s="48" t="s">
        <v>335</v>
      </c>
      <c r="D433" s="48" t="s">
        <v>474</v>
      </c>
    </row>
    <row r="434" spans="1:4">
      <c r="A434" s="48" t="s">
        <v>1156</v>
      </c>
      <c r="B434" s="106" t="s">
        <v>277</v>
      </c>
      <c r="C434" s="48" t="s">
        <v>335</v>
      </c>
      <c r="D434" s="48" t="s">
        <v>474</v>
      </c>
    </row>
    <row r="435" spans="1:4">
      <c r="A435" s="48" t="s">
        <v>50</v>
      </c>
      <c r="B435" s="106" t="s">
        <v>277</v>
      </c>
      <c r="C435" s="48" t="s">
        <v>359</v>
      </c>
      <c r="D435" s="48" t="s">
        <v>165</v>
      </c>
    </row>
    <row r="436" spans="1:4">
      <c r="A436" s="48" t="s">
        <v>632</v>
      </c>
      <c r="B436" s="106" t="s">
        <v>277</v>
      </c>
      <c r="C436" s="48" t="s">
        <v>359</v>
      </c>
      <c r="D436" s="48" t="s">
        <v>165</v>
      </c>
    </row>
    <row r="437" spans="1:4">
      <c r="A437" s="48" t="s">
        <v>1157</v>
      </c>
      <c r="B437" s="106" t="s">
        <v>277</v>
      </c>
      <c r="C437" s="48" t="s">
        <v>359</v>
      </c>
      <c r="D437" s="48" t="s">
        <v>165</v>
      </c>
    </row>
    <row r="438" spans="1:4">
      <c r="A438" s="48" t="s">
        <v>1074</v>
      </c>
      <c r="B438" s="106" t="s">
        <v>277</v>
      </c>
      <c r="C438" s="48" t="s">
        <v>359</v>
      </c>
      <c r="D438" s="48" t="s">
        <v>165</v>
      </c>
    </row>
    <row r="439" spans="1:4">
      <c r="A439" s="49" t="s">
        <v>1158</v>
      </c>
      <c r="B439" s="106" t="s">
        <v>277</v>
      </c>
      <c r="C439" s="48" t="s">
        <v>359</v>
      </c>
      <c r="D439" s="48" t="s">
        <v>165</v>
      </c>
    </row>
    <row r="440" spans="1:4">
      <c r="A440" s="49" t="s">
        <v>1159</v>
      </c>
      <c r="B440" s="106" t="s">
        <v>277</v>
      </c>
      <c r="C440" s="48" t="s">
        <v>359</v>
      </c>
      <c r="D440" s="48" t="s">
        <v>165</v>
      </c>
    </row>
    <row r="441" spans="1:4">
      <c r="A441" s="49" t="s">
        <v>1160</v>
      </c>
      <c r="B441" s="106" t="s">
        <v>277</v>
      </c>
      <c r="C441" s="48" t="s">
        <v>455</v>
      </c>
      <c r="D441" s="48" t="s">
        <v>279</v>
      </c>
    </row>
    <row r="442" spans="1:4">
      <c r="A442" s="49" t="s">
        <v>1161</v>
      </c>
      <c r="B442" s="106" t="s">
        <v>277</v>
      </c>
      <c r="C442" s="48" t="s">
        <v>278</v>
      </c>
      <c r="D442" s="48" t="s">
        <v>46</v>
      </c>
    </row>
    <row r="443" spans="1:4">
      <c r="A443" s="49" t="s">
        <v>1162</v>
      </c>
      <c r="B443" s="106" t="s">
        <v>277</v>
      </c>
      <c r="C443" s="48" t="s">
        <v>455</v>
      </c>
      <c r="D443" s="48" t="s">
        <v>310</v>
      </c>
    </row>
    <row r="444" spans="1:4">
      <c r="A444" s="49" t="s">
        <v>1106</v>
      </c>
      <c r="B444" s="106" t="s">
        <v>277</v>
      </c>
      <c r="C444" s="48" t="s">
        <v>455</v>
      </c>
      <c r="D444" s="48" t="s">
        <v>310</v>
      </c>
    </row>
    <row r="445" spans="1:4">
      <c r="A445" s="49" t="s">
        <v>1163</v>
      </c>
      <c r="B445" s="106" t="s">
        <v>277</v>
      </c>
      <c r="C445" s="48" t="s">
        <v>455</v>
      </c>
      <c r="D445" s="48" t="s">
        <v>306</v>
      </c>
    </row>
    <row r="446" spans="1:4">
      <c r="A446" s="49" t="s">
        <v>1164</v>
      </c>
      <c r="B446" s="106" t="s">
        <v>277</v>
      </c>
      <c r="C446" s="49" t="s">
        <v>278</v>
      </c>
      <c r="D446" s="49" t="s">
        <v>147</v>
      </c>
    </row>
    <row r="447" spans="1:4">
      <c r="A447" s="49" t="s">
        <v>1165</v>
      </c>
      <c r="B447" s="106" t="s">
        <v>277</v>
      </c>
      <c r="C447" s="49" t="s">
        <v>335</v>
      </c>
      <c r="D447" s="49" t="s">
        <v>279</v>
      </c>
    </row>
    <row r="448" spans="1:4">
      <c r="A448" s="49" t="s">
        <v>1166</v>
      </c>
      <c r="B448" s="106" t="s">
        <v>277</v>
      </c>
      <c r="C448" s="49" t="s">
        <v>380</v>
      </c>
      <c r="D448" s="49" t="s">
        <v>46</v>
      </c>
    </row>
    <row r="449" spans="1:4">
      <c r="A449" s="49" t="s">
        <v>1099</v>
      </c>
      <c r="B449" s="106" t="s">
        <v>277</v>
      </c>
      <c r="C449" s="49" t="s">
        <v>455</v>
      </c>
      <c r="D449" s="49" t="s">
        <v>279</v>
      </c>
    </row>
    <row r="450" spans="1:4">
      <c r="A450" s="49" t="s">
        <v>1167</v>
      </c>
      <c r="B450" s="106" t="s">
        <v>277</v>
      </c>
      <c r="C450" s="49" t="s">
        <v>335</v>
      </c>
      <c r="D450" s="49" t="s">
        <v>527</v>
      </c>
    </row>
    <row r="451" spans="1:4">
      <c r="A451" s="49" t="s">
        <v>1168</v>
      </c>
      <c r="B451" s="106" t="s">
        <v>277</v>
      </c>
      <c r="C451" s="49" t="s">
        <v>335</v>
      </c>
      <c r="D451" s="49" t="s">
        <v>279</v>
      </c>
    </row>
    <row r="452" spans="1:4">
      <c r="A452" s="49" t="s">
        <v>1169</v>
      </c>
      <c r="B452" s="106" t="s">
        <v>277</v>
      </c>
      <c r="C452" s="49" t="s">
        <v>335</v>
      </c>
      <c r="D452" s="49" t="s">
        <v>474</v>
      </c>
    </row>
    <row r="453" spans="1:4">
      <c r="A453" s="49" t="s">
        <v>1095</v>
      </c>
      <c r="B453" s="106" t="s">
        <v>277</v>
      </c>
      <c r="C453" s="49" t="s">
        <v>335</v>
      </c>
      <c r="D453" s="48" t="s">
        <v>279</v>
      </c>
    </row>
    <row r="454" spans="1:4">
      <c r="A454" s="49" t="s">
        <v>1170</v>
      </c>
      <c r="B454" s="106" t="s">
        <v>277</v>
      </c>
      <c r="C454" s="49" t="s">
        <v>1126</v>
      </c>
      <c r="D454" s="49" t="s">
        <v>141</v>
      </c>
    </row>
    <row r="455" spans="1:4">
      <c r="A455" s="49" t="s">
        <v>1706</v>
      </c>
      <c r="B455" s="106" t="s">
        <v>585</v>
      </c>
      <c r="C455" s="46" t="s">
        <v>1039</v>
      </c>
      <c r="D455" s="46" t="s">
        <v>587</v>
      </c>
    </row>
  </sheetData>
  <conditionalFormatting sqref="A1">
    <cfRule type="duplicateValues" dxfId="4" priority="2"/>
    <cfRule type="duplicateValues" dxfId="3" priority="3"/>
  </conditionalFormatting>
  <conditionalFormatting sqref="A1:A1048576">
    <cfRule type="duplicateValues" dxfId="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109"/>
  <sheetViews>
    <sheetView topLeftCell="A107" zoomScale="90" zoomScaleNormal="90" workbookViewId="0">
      <selection activeCell="C109" sqref="C109"/>
    </sheetView>
  </sheetViews>
  <sheetFormatPr defaultColWidth="9" defaultRowHeight="14.5"/>
  <cols>
    <col min="1" max="1" width="7.54296875" customWidth="1"/>
    <col min="2" max="2" width="13.7265625" customWidth="1"/>
    <col min="3" max="3" width="21.26953125" customWidth="1"/>
    <col min="4" max="4" width="23.453125" customWidth="1"/>
    <col min="5" max="5" width="17.54296875" customWidth="1"/>
    <col min="6" max="6" width="29.1796875" customWidth="1"/>
    <col min="7" max="7" width="27.453125" customWidth="1"/>
    <col min="8" max="8" width="16" customWidth="1"/>
    <col min="9" max="9" width="139.81640625" customWidth="1"/>
  </cols>
  <sheetData>
    <row r="1" spans="1:9" ht="18.5">
      <c r="A1" s="27" t="s">
        <v>633</v>
      </c>
      <c r="B1" s="28" t="s">
        <v>1</v>
      </c>
      <c r="C1" s="27" t="s">
        <v>634</v>
      </c>
      <c r="D1" s="27" t="s">
        <v>4</v>
      </c>
      <c r="E1" s="27" t="s">
        <v>120</v>
      </c>
      <c r="F1" s="27" t="s">
        <v>6</v>
      </c>
      <c r="G1" s="27" t="s">
        <v>7</v>
      </c>
      <c r="H1" s="27" t="s">
        <v>635</v>
      </c>
      <c r="I1" s="39" t="s">
        <v>636</v>
      </c>
    </row>
    <row r="2" spans="1:9" ht="18.5">
      <c r="A2" s="29">
        <v>1</v>
      </c>
      <c r="B2" s="30">
        <v>45083</v>
      </c>
      <c r="C2" s="31" t="s">
        <v>637</v>
      </c>
      <c r="D2" s="32">
        <v>0.66597222222222197</v>
      </c>
      <c r="E2" s="29" t="s">
        <v>638</v>
      </c>
      <c r="F2" s="29" t="s">
        <v>639</v>
      </c>
      <c r="G2" s="29" t="s">
        <v>640</v>
      </c>
      <c r="H2" s="29" t="s">
        <v>292</v>
      </c>
      <c r="I2" s="40" t="s">
        <v>641</v>
      </c>
    </row>
    <row r="3" spans="1:9" ht="18.5">
      <c r="A3" s="29">
        <f>A2+1</f>
        <v>2</v>
      </c>
      <c r="B3" s="30">
        <v>45085</v>
      </c>
      <c r="C3" s="31" t="s">
        <v>637</v>
      </c>
      <c r="D3" s="32">
        <v>0.76111111111111096</v>
      </c>
      <c r="E3" s="29" t="s">
        <v>642</v>
      </c>
      <c r="F3" s="29" t="s">
        <v>643</v>
      </c>
      <c r="G3" s="29" t="s">
        <v>644</v>
      </c>
      <c r="H3" s="29" t="s">
        <v>294</v>
      </c>
      <c r="I3" s="40" t="s">
        <v>645</v>
      </c>
    </row>
    <row r="4" spans="1:9" ht="18.5">
      <c r="A4" s="29">
        <f t="shared" ref="A4:A28" si="0">A3+1</f>
        <v>3</v>
      </c>
      <c r="B4" s="30">
        <v>45117</v>
      </c>
      <c r="C4" s="31" t="s">
        <v>637</v>
      </c>
      <c r="D4" s="32">
        <v>0.92708333333333304</v>
      </c>
      <c r="E4" s="29" t="s">
        <v>646</v>
      </c>
      <c r="F4" s="29" t="s">
        <v>647</v>
      </c>
      <c r="G4" s="29" t="s">
        <v>648</v>
      </c>
      <c r="H4" s="29" t="s">
        <v>294</v>
      </c>
      <c r="I4" s="40" t="s">
        <v>645</v>
      </c>
    </row>
    <row r="5" spans="1:9" ht="18.5">
      <c r="A5" s="29">
        <f t="shared" si="0"/>
        <v>4</v>
      </c>
      <c r="B5" s="30">
        <v>45126</v>
      </c>
      <c r="C5" s="31" t="s">
        <v>637</v>
      </c>
      <c r="D5" s="32">
        <v>0.32291666666666702</v>
      </c>
      <c r="E5" s="29" t="s">
        <v>649</v>
      </c>
      <c r="F5" s="29" t="s">
        <v>650</v>
      </c>
      <c r="G5" s="29" t="s">
        <v>651</v>
      </c>
      <c r="H5" s="29" t="s">
        <v>141</v>
      </c>
      <c r="I5" s="40" t="s">
        <v>652</v>
      </c>
    </row>
    <row r="6" spans="1:9" ht="18.5">
      <c r="A6" s="29">
        <f t="shared" si="0"/>
        <v>5</v>
      </c>
      <c r="B6" s="30">
        <v>45141</v>
      </c>
      <c r="C6" s="31" t="s">
        <v>637</v>
      </c>
      <c r="D6" s="32">
        <v>0.54166666666666696</v>
      </c>
      <c r="E6" s="29" t="s">
        <v>653</v>
      </c>
      <c r="F6" s="29" t="s">
        <v>90</v>
      </c>
      <c r="G6" s="29" t="s">
        <v>91</v>
      </c>
      <c r="H6" s="29" t="s">
        <v>46</v>
      </c>
      <c r="I6" s="40" t="s">
        <v>654</v>
      </c>
    </row>
    <row r="7" spans="1:9" ht="18.5">
      <c r="A7" s="29">
        <f t="shared" si="0"/>
        <v>6</v>
      </c>
      <c r="B7" s="30">
        <v>45143</v>
      </c>
      <c r="C7" s="31" t="s">
        <v>637</v>
      </c>
      <c r="D7" s="32">
        <v>0.29166666666666702</v>
      </c>
      <c r="E7" s="29" t="s">
        <v>301</v>
      </c>
      <c r="F7" s="29" t="s">
        <v>655</v>
      </c>
      <c r="G7" s="29" t="s">
        <v>655</v>
      </c>
      <c r="H7" s="29" t="s">
        <v>46</v>
      </c>
      <c r="I7" s="40" t="s">
        <v>654</v>
      </c>
    </row>
    <row r="8" spans="1:9" ht="18.5">
      <c r="A8" s="29">
        <f t="shared" si="0"/>
        <v>7</v>
      </c>
      <c r="B8" s="30">
        <v>45145</v>
      </c>
      <c r="C8" s="31" t="s">
        <v>637</v>
      </c>
      <c r="D8" s="32">
        <v>0.66527777777777797</v>
      </c>
      <c r="E8" s="29" t="s">
        <v>656</v>
      </c>
      <c r="F8" s="29" t="s">
        <v>657</v>
      </c>
      <c r="G8" s="29" t="s">
        <v>658</v>
      </c>
      <c r="H8" s="29" t="s">
        <v>125</v>
      </c>
      <c r="I8" s="40" t="s">
        <v>659</v>
      </c>
    </row>
    <row r="9" spans="1:9" ht="18.5">
      <c r="A9" s="29">
        <f t="shared" si="0"/>
        <v>8</v>
      </c>
      <c r="B9" s="30">
        <v>45150</v>
      </c>
      <c r="C9" s="31" t="s">
        <v>637</v>
      </c>
      <c r="D9" s="32">
        <v>0.70277777777777795</v>
      </c>
      <c r="E9" s="29" t="s">
        <v>660</v>
      </c>
      <c r="F9" s="29" t="s">
        <v>661</v>
      </c>
      <c r="G9" s="29" t="s">
        <v>662</v>
      </c>
      <c r="H9" s="29" t="s">
        <v>663</v>
      </c>
      <c r="I9" s="40" t="s">
        <v>664</v>
      </c>
    </row>
    <row r="10" spans="1:9" ht="37">
      <c r="A10" s="29">
        <f t="shared" si="0"/>
        <v>9</v>
      </c>
      <c r="B10" s="30">
        <v>45150</v>
      </c>
      <c r="C10" s="31" t="s">
        <v>637</v>
      </c>
      <c r="D10" s="32">
        <v>0.73680555555555605</v>
      </c>
      <c r="E10" s="29" t="s">
        <v>665</v>
      </c>
      <c r="F10" s="29" t="s">
        <v>666</v>
      </c>
      <c r="G10" s="29" t="s">
        <v>667</v>
      </c>
      <c r="H10" s="29" t="s">
        <v>332</v>
      </c>
      <c r="I10" s="41" t="s">
        <v>668</v>
      </c>
    </row>
    <row r="11" spans="1:9" ht="18.5">
      <c r="A11" s="29">
        <f t="shared" si="0"/>
        <v>10</v>
      </c>
      <c r="B11" s="30">
        <v>45154</v>
      </c>
      <c r="C11" s="31" t="s">
        <v>637</v>
      </c>
      <c r="D11" s="32">
        <v>0.70555555555555605</v>
      </c>
      <c r="E11" s="29" t="s">
        <v>315</v>
      </c>
      <c r="F11" s="29" t="s">
        <v>669</v>
      </c>
      <c r="G11" s="29" t="s">
        <v>670</v>
      </c>
      <c r="H11" s="29" t="s">
        <v>671</v>
      </c>
      <c r="I11" s="40" t="s">
        <v>672</v>
      </c>
    </row>
    <row r="12" spans="1:9" ht="37">
      <c r="A12" s="29">
        <f t="shared" si="0"/>
        <v>11</v>
      </c>
      <c r="B12" s="30">
        <v>45154</v>
      </c>
      <c r="C12" s="31" t="s">
        <v>637</v>
      </c>
      <c r="D12" s="32">
        <v>0.70833333333333304</v>
      </c>
      <c r="E12" s="29" t="s">
        <v>673</v>
      </c>
      <c r="F12" s="29" t="s">
        <v>674</v>
      </c>
      <c r="G12" s="29" t="s">
        <v>675</v>
      </c>
      <c r="H12" s="29" t="s">
        <v>663</v>
      </c>
      <c r="I12" s="40" t="s">
        <v>676</v>
      </c>
    </row>
    <row r="13" spans="1:9" ht="37">
      <c r="A13" s="29">
        <f t="shared" si="0"/>
        <v>12</v>
      </c>
      <c r="B13" s="30">
        <v>45154</v>
      </c>
      <c r="C13" s="31" t="s">
        <v>637</v>
      </c>
      <c r="D13" s="32">
        <v>0.78888888888888897</v>
      </c>
      <c r="E13" s="29" t="s">
        <v>677</v>
      </c>
      <c r="F13" s="29" t="s">
        <v>678</v>
      </c>
      <c r="G13" s="29" t="s">
        <v>679</v>
      </c>
      <c r="H13" s="29" t="s">
        <v>294</v>
      </c>
      <c r="I13" s="40" t="s">
        <v>680</v>
      </c>
    </row>
    <row r="14" spans="1:9" ht="37">
      <c r="A14" s="29">
        <f t="shared" si="0"/>
        <v>13</v>
      </c>
      <c r="B14" s="30">
        <v>45154</v>
      </c>
      <c r="C14" s="31" t="s">
        <v>637</v>
      </c>
      <c r="D14" s="32">
        <v>0.83055555555555605</v>
      </c>
      <c r="E14" s="29" t="s">
        <v>681</v>
      </c>
      <c r="F14" s="29" t="s">
        <v>682</v>
      </c>
      <c r="G14" s="29" t="s">
        <v>683</v>
      </c>
      <c r="H14" s="29" t="s">
        <v>165</v>
      </c>
      <c r="I14" s="40" t="s">
        <v>684</v>
      </c>
    </row>
    <row r="15" spans="1:9" ht="18.5">
      <c r="A15" s="29">
        <f t="shared" si="0"/>
        <v>14</v>
      </c>
      <c r="B15" s="30">
        <v>45157</v>
      </c>
      <c r="C15" s="31" t="s">
        <v>685</v>
      </c>
      <c r="D15" s="32">
        <v>5.1388888888888901E-2</v>
      </c>
      <c r="E15" s="29" t="s">
        <v>686</v>
      </c>
      <c r="F15" s="29" t="s">
        <v>687</v>
      </c>
      <c r="G15" s="29" t="s">
        <v>91</v>
      </c>
      <c r="H15" s="29" t="s">
        <v>46</v>
      </c>
      <c r="I15" s="40" t="s">
        <v>688</v>
      </c>
    </row>
    <row r="16" spans="1:9" ht="18.5">
      <c r="A16" s="29">
        <f t="shared" si="0"/>
        <v>15</v>
      </c>
      <c r="B16" s="30">
        <v>45157</v>
      </c>
      <c r="C16" s="31" t="s">
        <v>637</v>
      </c>
      <c r="D16" s="32">
        <v>0.87638888888888899</v>
      </c>
      <c r="E16" s="29" t="s">
        <v>300</v>
      </c>
      <c r="F16" s="29" t="s">
        <v>689</v>
      </c>
      <c r="G16" s="29" t="s">
        <v>690</v>
      </c>
      <c r="H16" s="29" t="s">
        <v>332</v>
      </c>
      <c r="I16" s="40" t="s">
        <v>691</v>
      </c>
    </row>
    <row r="17" spans="1:9" ht="55.5">
      <c r="A17" s="29">
        <f t="shared" si="0"/>
        <v>16</v>
      </c>
      <c r="B17" s="30">
        <v>45162</v>
      </c>
      <c r="C17" s="31" t="s">
        <v>685</v>
      </c>
      <c r="D17" s="32">
        <v>0.54652777777777795</v>
      </c>
      <c r="E17" s="29" t="s">
        <v>692</v>
      </c>
      <c r="F17" s="29" t="s">
        <v>693</v>
      </c>
      <c r="G17" s="29" t="s">
        <v>694</v>
      </c>
      <c r="H17" s="29" t="s">
        <v>134</v>
      </c>
      <c r="I17" s="40" t="s">
        <v>695</v>
      </c>
    </row>
    <row r="18" spans="1:9" ht="92.5">
      <c r="A18" s="29">
        <f t="shared" si="0"/>
        <v>17</v>
      </c>
      <c r="B18" s="30">
        <v>45163</v>
      </c>
      <c r="C18" s="31" t="s">
        <v>685</v>
      </c>
      <c r="D18" s="32">
        <v>0.73055555555555596</v>
      </c>
      <c r="E18" s="29" t="s">
        <v>642</v>
      </c>
      <c r="F18" s="29" t="s">
        <v>696</v>
      </c>
      <c r="G18" s="29" t="s">
        <v>697</v>
      </c>
      <c r="H18" s="29" t="s">
        <v>294</v>
      </c>
      <c r="I18" s="40" t="s">
        <v>698</v>
      </c>
    </row>
    <row r="19" spans="1:9" ht="92.5">
      <c r="A19" s="29">
        <f t="shared" si="0"/>
        <v>18</v>
      </c>
      <c r="B19" s="30">
        <v>45163</v>
      </c>
      <c r="C19" s="31" t="s">
        <v>699</v>
      </c>
      <c r="D19" s="32">
        <v>0.70555555555555605</v>
      </c>
      <c r="E19" s="29" t="s">
        <v>81</v>
      </c>
      <c r="F19" s="29" t="s">
        <v>82</v>
      </c>
      <c r="G19" s="29" t="s">
        <v>700</v>
      </c>
      <c r="H19" s="29" t="s">
        <v>292</v>
      </c>
      <c r="I19" s="40" t="s">
        <v>701</v>
      </c>
    </row>
    <row r="20" spans="1:9" ht="37">
      <c r="A20" s="29">
        <f t="shared" si="0"/>
        <v>19</v>
      </c>
      <c r="B20" s="30">
        <v>45164</v>
      </c>
      <c r="C20" s="31" t="s">
        <v>685</v>
      </c>
      <c r="D20" s="32">
        <v>0.68888888888888899</v>
      </c>
      <c r="E20" s="29" t="s">
        <v>702</v>
      </c>
      <c r="F20" s="29" t="s">
        <v>703</v>
      </c>
      <c r="G20" s="29" t="s">
        <v>704</v>
      </c>
      <c r="H20" s="29" t="s">
        <v>141</v>
      </c>
      <c r="I20" s="40" t="s">
        <v>705</v>
      </c>
    </row>
    <row r="21" spans="1:9" ht="37">
      <c r="A21" s="29">
        <f t="shared" si="0"/>
        <v>20</v>
      </c>
      <c r="B21" s="30">
        <v>45173</v>
      </c>
      <c r="C21" s="31" t="s">
        <v>706</v>
      </c>
      <c r="D21" s="32">
        <v>0.54513888888888895</v>
      </c>
      <c r="E21" s="29" t="s">
        <v>707</v>
      </c>
      <c r="F21" s="29" t="s">
        <v>708</v>
      </c>
      <c r="G21" s="29" t="s">
        <v>709</v>
      </c>
      <c r="H21" s="29" t="s">
        <v>232</v>
      </c>
      <c r="I21" s="40" t="s">
        <v>710</v>
      </c>
    </row>
    <row r="22" spans="1:9" ht="37">
      <c r="A22" s="29">
        <f t="shared" si="0"/>
        <v>21</v>
      </c>
      <c r="B22" s="30">
        <v>45174</v>
      </c>
      <c r="C22" s="31" t="s">
        <v>711</v>
      </c>
      <c r="D22" s="32">
        <v>0.47430555555555598</v>
      </c>
      <c r="E22" s="29" t="s">
        <v>594</v>
      </c>
      <c r="F22" s="29" t="s">
        <v>712</v>
      </c>
      <c r="G22" s="29" t="s">
        <v>713</v>
      </c>
      <c r="H22" s="29" t="s">
        <v>587</v>
      </c>
      <c r="I22" s="40" t="s">
        <v>714</v>
      </c>
    </row>
    <row r="23" spans="1:9" ht="37">
      <c r="A23" s="29">
        <f t="shared" si="0"/>
        <v>22</v>
      </c>
      <c r="B23" s="30">
        <v>45176</v>
      </c>
      <c r="C23" s="31" t="s">
        <v>637</v>
      </c>
      <c r="D23" s="32">
        <v>0.70416666666666705</v>
      </c>
      <c r="E23" s="29" t="s">
        <v>348</v>
      </c>
      <c r="F23" s="29" t="s">
        <v>715</v>
      </c>
      <c r="G23" s="29" t="s">
        <v>716</v>
      </c>
      <c r="H23" s="29" t="s">
        <v>232</v>
      </c>
      <c r="I23" s="40" t="s">
        <v>717</v>
      </c>
    </row>
    <row r="24" spans="1:9" ht="55.5">
      <c r="A24" s="29">
        <f t="shared" si="0"/>
        <v>23</v>
      </c>
      <c r="B24" s="30">
        <v>45181</v>
      </c>
      <c r="C24" s="31" t="s">
        <v>706</v>
      </c>
      <c r="D24" s="32">
        <v>0.52708333333333302</v>
      </c>
      <c r="E24" s="29" t="s">
        <v>653</v>
      </c>
      <c r="F24" s="29"/>
      <c r="G24" s="29"/>
      <c r="H24" s="29"/>
      <c r="I24" s="40" t="s">
        <v>718</v>
      </c>
    </row>
    <row r="25" spans="1:9" ht="37">
      <c r="A25" s="29">
        <f t="shared" si="0"/>
        <v>24</v>
      </c>
      <c r="B25" s="30">
        <v>45185</v>
      </c>
      <c r="C25" s="31" t="s">
        <v>637</v>
      </c>
      <c r="D25" s="32">
        <v>0.72291666666666698</v>
      </c>
      <c r="E25" s="29" t="s">
        <v>719</v>
      </c>
      <c r="F25" s="29" t="s">
        <v>720</v>
      </c>
      <c r="G25" s="29" t="s">
        <v>721</v>
      </c>
      <c r="H25" s="29" t="s">
        <v>141</v>
      </c>
      <c r="I25" s="40" t="s">
        <v>722</v>
      </c>
    </row>
    <row r="26" spans="1:9" ht="55.5">
      <c r="A26" s="29">
        <f t="shared" si="0"/>
        <v>25</v>
      </c>
      <c r="B26" s="30">
        <v>45188</v>
      </c>
      <c r="C26" s="31" t="s">
        <v>723</v>
      </c>
      <c r="D26" s="32">
        <v>0.67083333333333295</v>
      </c>
      <c r="E26" s="29" t="s">
        <v>724</v>
      </c>
      <c r="F26" s="29" t="s">
        <v>725</v>
      </c>
      <c r="G26" s="29" t="s">
        <v>726</v>
      </c>
      <c r="H26" s="29" t="s">
        <v>663</v>
      </c>
      <c r="I26" s="40" t="s">
        <v>727</v>
      </c>
    </row>
    <row r="27" spans="1:9" ht="55.5">
      <c r="A27" s="29">
        <f t="shared" si="0"/>
        <v>26</v>
      </c>
      <c r="B27" s="30" t="s">
        <v>728</v>
      </c>
      <c r="C27" s="31" t="s">
        <v>706</v>
      </c>
      <c r="D27" s="32">
        <v>0.53472222222222199</v>
      </c>
      <c r="E27" s="29" t="s">
        <v>595</v>
      </c>
      <c r="F27" s="29" t="s">
        <v>729</v>
      </c>
      <c r="G27" s="29" t="s">
        <v>730</v>
      </c>
      <c r="H27" s="29" t="s">
        <v>586</v>
      </c>
      <c r="I27" s="40" t="s">
        <v>731</v>
      </c>
    </row>
    <row r="28" spans="1:9" ht="18.5">
      <c r="A28" s="29">
        <f t="shared" si="0"/>
        <v>27</v>
      </c>
      <c r="B28" s="30" t="s">
        <v>732</v>
      </c>
      <c r="C28" s="31" t="s">
        <v>706</v>
      </c>
      <c r="D28" s="32">
        <v>0.65138888888888902</v>
      </c>
      <c r="E28" s="29" t="s">
        <v>303</v>
      </c>
      <c r="F28" s="29" t="s">
        <v>733</v>
      </c>
      <c r="G28" s="29" t="s">
        <v>734</v>
      </c>
      <c r="H28" s="29" t="s">
        <v>46</v>
      </c>
      <c r="I28" s="40" t="s">
        <v>735</v>
      </c>
    </row>
    <row r="29" spans="1:9" ht="37">
      <c r="A29" s="29">
        <v>28</v>
      </c>
      <c r="B29" s="30">
        <v>45205</v>
      </c>
      <c r="C29" s="31" t="s">
        <v>637</v>
      </c>
      <c r="D29" s="32">
        <v>0.26388888888888901</v>
      </c>
      <c r="E29" s="29" t="s">
        <v>290</v>
      </c>
      <c r="F29" s="29" t="s">
        <v>736</v>
      </c>
      <c r="G29" s="29" t="s">
        <v>737</v>
      </c>
      <c r="H29" s="29" t="s">
        <v>165</v>
      </c>
      <c r="I29" s="40" t="s">
        <v>738</v>
      </c>
    </row>
    <row r="30" spans="1:9" ht="37">
      <c r="A30" s="29">
        <v>29</v>
      </c>
      <c r="B30" s="30">
        <v>45211</v>
      </c>
      <c r="C30" s="31" t="s">
        <v>637</v>
      </c>
      <c r="D30" s="32">
        <v>0.67708333333333304</v>
      </c>
      <c r="E30" s="29" t="s">
        <v>739</v>
      </c>
      <c r="F30" s="29" t="s">
        <v>740</v>
      </c>
      <c r="G30" s="29" t="s">
        <v>741</v>
      </c>
      <c r="H30" s="29" t="s">
        <v>587</v>
      </c>
      <c r="I30" s="40" t="s">
        <v>742</v>
      </c>
    </row>
    <row r="31" spans="1:9" ht="37">
      <c r="A31" s="29">
        <v>30</v>
      </c>
      <c r="B31" s="30">
        <v>45203</v>
      </c>
      <c r="C31" s="31" t="s">
        <v>699</v>
      </c>
      <c r="D31" s="32">
        <v>0.74583333333333302</v>
      </c>
      <c r="E31" s="29" t="s">
        <v>293</v>
      </c>
      <c r="F31" s="29"/>
      <c r="G31" s="29"/>
      <c r="H31" s="29" t="s">
        <v>294</v>
      </c>
      <c r="I31" s="40" t="s">
        <v>743</v>
      </c>
    </row>
    <row r="32" spans="1:9" ht="18.5">
      <c r="A32" s="29">
        <v>31</v>
      </c>
      <c r="B32" s="33">
        <v>45240</v>
      </c>
      <c r="C32" s="31" t="s">
        <v>685</v>
      </c>
      <c r="D32" s="34">
        <v>0.83333333333333304</v>
      </c>
      <c r="E32" s="31" t="s">
        <v>744</v>
      </c>
      <c r="F32" s="29" t="s">
        <v>745</v>
      </c>
      <c r="G32" s="29" t="s">
        <v>746</v>
      </c>
      <c r="H32" s="29" t="s">
        <v>147</v>
      </c>
      <c r="I32" s="40" t="s">
        <v>747</v>
      </c>
    </row>
    <row r="33" spans="1:9" ht="74">
      <c r="A33" s="29">
        <v>32</v>
      </c>
      <c r="B33" s="33">
        <v>45250</v>
      </c>
      <c r="C33" s="35" t="s">
        <v>706</v>
      </c>
      <c r="D33" s="36">
        <v>0.58402777777777803</v>
      </c>
      <c r="E33" s="37" t="s">
        <v>99</v>
      </c>
      <c r="F33" s="37" t="s">
        <v>748</v>
      </c>
      <c r="G33" s="37" t="s">
        <v>749</v>
      </c>
      <c r="H33" s="37" t="s">
        <v>586</v>
      </c>
      <c r="I33" s="42" t="s">
        <v>750</v>
      </c>
    </row>
    <row r="34" spans="1:9" ht="55.5">
      <c r="A34" s="29">
        <v>33</v>
      </c>
      <c r="B34" s="33">
        <v>45263</v>
      </c>
      <c r="C34" s="31" t="s">
        <v>637</v>
      </c>
      <c r="D34" s="32">
        <v>0.72569444444444497</v>
      </c>
      <c r="E34" s="29" t="s">
        <v>751</v>
      </c>
      <c r="F34" s="29" t="s">
        <v>703</v>
      </c>
      <c r="G34" s="29" t="s">
        <v>704</v>
      </c>
      <c r="H34" s="29" t="s">
        <v>141</v>
      </c>
      <c r="I34" s="42" t="s">
        <v>752</v>
      </c>
    </row>
    <row r="35" spans="1:9" ht="92.5">
      <c r="A35" s="29">
        <v>34</v>
      </c>
      <c r="B35" s="33">
        <v>45275</v>
      </c>
      <c r="C35" s="35" t="s">
        <v>706</v>
      </c>
      <c r="D35" s="32">
        <v>0.55694444444444402</v>
      </c>
      <c r="E35" s="29" t="s">
        <v>96</v>
      </c>
      <c r="F35" s="29" t="s">
        <v>753</v>
      </c>
      <c r="G35" s="29" t="s">
        <v>754</v>
      </c>
      <c r="H35" s="37" t="s">
        <v>586</v>
      </c>
      <c r="I35" s="42" t="s">
        <v>755</v>
      </c>
    </row>
    <row r="36" spans="1:9" ht="148">
      <c r="A36" s="29">
        <v>35</v>
      </c>
      <c r="B36" s="33">
        <v>45282</v>
      </c>
      <c r="C36" s="35" t="s">
        <v>706</v>
      </c>
      <c r="D36" s="32">
        <v>0.46597222222222201</v>
      </c>
      <c r="E36" s="29" t="s">
        <v>756</v>
      </c>
      <c r="F36" s="29" t="s">
        <v>757</v>
      </c>
      <c r="G36" s="29" t="s">
        <v>758</v>
      </c>
      <c r="H36" s="29" t="s">
        <v>151</v>
      </c>
      <c r="I36" s="40" t="s">
        <v>759</v>
      </c>
    </row>
    <row r="37" spans="1:9" ht="148">
      <c r="A37" s="29">
        <v>36</v>
      </c>
      <c r="B37" s="33">
        <v>45286</v>
      </c>
      <c r="C37" s="35" t="s">
        <v>706</v>
      </c>
      <c r="D37" s="32">
        <v>0.60833333333333295</v>
      </c>
      <c r="E37" s="29" t="s">
        <v>377</v>
      </c>
      <c r="F37" s="29" t="s">
        <v>720</v>
      </c>
      <c r="G37" s="29" t="s">
        <v>721</v>
      </c>
      <c r="H37" s="29" t="s">
        <v>141</v>
      </c>
      <c r="I37" s="40" t="s">
        <v>760</v>
      </c>
    </row>
    <row r="38" spans="1:9" ht="74">
      <c r="A38" s="29">
        <f>A37+1</f>
        <v>37</v>
      </c>
      <c r="B38" s="33">
        <v>45293</v>
      </c>
      <c r="C38" s="35" t="s">
        <v>706</v>
      </c>
      <c r="D38" s="32">
        <v>0.60902777777777795</v>
      </c>
      <c r="E38" s="29" t="s">
        <v>410</v>
      </c>
      <c r="F38" s="29" t="s">
        <v>761</v>
      </c>
      <c r="G38" s="29" t="s">
        <v>762</v>
      </c>
      <c r="H38" s="29" t="s">
        <v>141</v>
      </c>
      <c r="I38" s="40" t="s">
        <v>763</v>
      </c>
    </row>
    <row r="39" spans="1:9" ht="74">
      <c r="A39" s="29">
        <f>A38+1</f>
        <v>38</v>
      </c>
      <c r="B39" s="33">
        <v>45330</v>
      </c>
      <c r="C39" s="35" t="s">
        <v>706</v>
      </c>
      <c r="D39" s="32">
        <v>0.51041666666666696</v>
      </c>
      <c r="E39" s="29" t="s">
        <v>764</v>
      </c>
      <c r="F39" s="29" t="s">
        <v>765</v>
      </c>
      <c r="G39" s="29" t="s">
        <v>766</v>
      </c>
      <c r="H39" s="29" t="s">
        <v>592</v>
      </c>
      <c r="I39" s="40" t="s">
        <v>767</v>
      </c>
    </row>
    <row r="40" spans="1:9" ht="111">
      <c r="A40" s="29">
        <v>39</v>
      </c>
      <c r="B40" s="33">
        <v>45351</v>
      </c>
      <c r="C40" s="35" t="s">
        <v>706</v>
      </c>
      <c r="D40" s="32">
        <v>0.5625</v>
      </c>
      <c r="E40" s="29" t="s">
        <v>768</v>
      </c>
      <c r="F40" s="29" t="s">
        <v>769</v>
      </c>
      <c r="G40" s="29" t="s">
        <v>770</v>
      </c>
      <c r="H40" s="29" t="s">
        <v>46</v>
      </c>
      <c r="I40" s="40" t="s">
        <v>771</v>
      </c>
    </row>
    <row r="41" spans="1:9" ht="148">
      <c r="A41" s="29">
        <f>A40+1</f>
        <v>40</v>
      </c>
      <c r="B41" s="33">
        <v>45351</v>
      </c>
      <c r="C41" s="35" t="s">
        <v>637</v>
      </c>
      <c r="D41" s="32">
        <v>0.71319444444444402</v>
      </c>
      <c r="E41" s="29" t="s">
        <v>614</v>
      </c>
      <c r="F41" s="29" t="s">
        <v>772</v>
      </c>
      <c r="G41" s="29" t="s">
        <v>773</v>
      </c>
      <c r="H41" s="29" t="s">
        <v>587</v>
      </c>
      <c r="I41" s="40" t="s">
        <v>774</v>
      </c>
    </row>
    <row r="42" spans="1:9" ht="74">
      <c r="A42" s="29">
        <v>41</v>
      </c>
      <c r="B42" s="33">
        <v>45354</v>
      </c>
      <c r="C42" s="33" t="s">
        <v>775</v>
      </c>
      <c r="D42" s="32">
        <v>0.47499999999999998</v>
      </c>
      <c r="E42" s="29" t="s">
        <v>364</v>
      </c>
      <c r="F42" s="29" t="s">
        <v>776</v>
      </c>
      <c r="G42" s="29" t="s">
        <v>777</v>
      </c>
      <c r="H42" s="29" t="s">
        <v>332</v>
      </c>
      <c r="I42" s="40" t="s">
        <v>778</v>
      </c>
    </row>
    <row r="43" spans="1:9" ht="55.5">
      <c r="A43" s="29">
        <f>A42+1</f>
        <v>42</v>
      </c>
      <c r="B43" s="33">
        <v>45356</v>
      </c>
      <c r="C43" s="35" t="s">
        <v>637</v>
      </c>
      <c r="D43" s="32">
        <v>0.32500000000000001</v>
      </c>
      <c r="E43" s="29" t="s">
        <v>77</v>
      </c>
      <c r="F43" s="29" t="s">
        <v>79</v>
      </c>
      <c r="G43" s="29" t="s">
        <v>80</v>
      </c>
      <c r="H43" s="29" t="s">
        <v>165</v>
      </c>
      <c r="I43" s="40" t="s">
        <v>779</v>
      </c>
    </row>
    <row r="44" spans="1:9" ht="111">
      <c r="A44" s="29">
        <f>A43+1</f>
        <v>43</v>
      </c>
      <c r="B44" s="33">
        <v>45360</v>
      </c>
      <c r="C44" s="35" t="s">
        <v>699</v>
      </c>
      <c r="D44" s="32">
        <v>0.98077546296296303</v>
      </c>
      <c r="E44" s="29" t="s">
        <v>780</v>
      </c>
      <c r="F44" s="29" t="s">
        <v>781</v>
      </c>
      <c r="G44" s="29" t="s">
        <v>782</v>
      </c>
      <c r="H44" s="29" t="s">
        <v>151</v>
      </c>
      <c r="I44" s="40" t="s">
        <v>783</v>
      </c>
    </row>
    <row r="45" spans="1:9" ht="166.5">
      <c r="A45" s="29">
        <f>A44+1</f>
        <v>44</v>
      </c>
      <c r="B45" s="33">
        <v>45364</v>
      </c>
      <c r="C45" s="35" t="s">
        <v>637</v>
      </c>
      <c r="D45" s="32">
        <v>0.72361111111111098</v>
      </c>
      <c r="E45" s="29" t="s">
        <v>345</v>
      </c>
      <c r="F45" s="29" t="s">
        <v>784</v>
      </c>
      <c r="G45" s="29" t="s">
        <v>93</v>
      </c>
      <c r="H45" s="29" t="s">
        <v>165</v>
      </c>
      <c r="I45" s="40" t="s">
        <v>785</v>
      </c>
    </row>
    <row r="46" spans="1:9" ht="148">
      <c r="A46" s="29">
        <f>A45+1</f>
        <v>45</v>
      </c>
      <c r="B46" s="33">
        <v>45364</v>
      </c>
      <c r="C46" s="35" t="s">
        <v>637</v>
      </c>
      <c r="D46" s="32">
        <v>0.76527777777777795</v>
      </c>
      <c r="E46" s="29" t="s">
        <v>612</v>
      </c>
      <c r="F46" s="29" t="s">
        <v>786</v>
      </c>
      <c r="G46" s="29" t="s">
        <v>787</v>
      </c>
      <c r="H46" s="29" t="s">
        <v>586</v>
      </c>
      <c r="I46" s="40" t="s">
        <v>788</v>
      </c>
    </row>
    <row r="47" spans="1:9">
      <c r="A47" s="114">
        <f>A46+1</f>
        <v>46</v>
      </c>
      <c r="B47" s="116">
        <v>45366</v>
      </c>
      <c r="C47" s="114" t="s">
        <v>685</v>
      </c>
      <c r="D47" s="114">
        <v>0.54374999999999996</v>
      </c>
      <c r="E47" s="114" t="s">
        <v>599</v>
      </c>
      <c r="F47" s="114" t="s">
        <v>789</v>
      </c>
      <c r="G47" s="114" t="s">
        <v>790</v>
      </c>
      <c r="H47" s="114" t="s">
        <v>587</v>
      </c>
      <c r="I47" s="115" t="s">
        <v>791</v>
      </c>
    </row>
    <row r="48" spans="1:9">
      <c r="A48" s="114"/>
      <c r="B48" s="116"/>
      <c r="C48" s="114"/>
      <c r="D48" s="114"/>
      <c r="E48" s="114"/>
      <c r="F48" s="114"/>
      <c r="G48" s="114"/>
      <c r="H48" s="114"/>
      <c r="I48" s="115"/>
    </row>
    <row r="49" spans="1:9" ht="111">
      <c r="A49" s="29">
        <v>47</v>
      </c>
      <c r="B49" s="33">
        <v>45360</v>
      </c>
      <c r="C49" s="35" t="s">
        <v>699</v>
      </c>
      <c r="D49" s="32">
        <v>0.47569444444444398</v>
      </c>
      <c r="E49" s="29" t="s">
        <v>792</v>
      </c>
      <c r="F49" s="38" t="s">
        <v>793</v>
      </c>
      <c r="G49" s="38" t="s">
        <v>794</v>
      </c>
      <c r="H49" s="29" t="s">
        <v>592</v>
      </c>
      <c r="I49" s="40" t="s">
        <v>795</v>
      </c>
    </row>
    <row r="50" spans="1:9" ht="74">
      <c r="A50" s="29">
        <f>A49+1</f>
        <v>48</v>
      </c>
      <c r="B50" s="33">
        <v>45374</v>
      </c>
      <c r="C50" s="35" t="s">
        <v>685</v>
      </c>
      <c r="D50" s="32">
        <v>0.56597222222222199</v>
      </c>
      <c r="E50" s="29" t="s">
        <v>357</v>
      </c>
      <c r="F50" s="29" t="s">
        <v>796</v>
      </c>
      <c r="G50" s="29" t="s">
        <v>797</v>
      </c>
      <c r="H50" s="29" t="s">
        <v>332</v>
      </c>
      <c r="I50" s="40" t="s">
        <v>798</v>
      </c>
    </row>
    <row r="51" spans="1:9" ht="111">
      <c r="A51" s="29">
        <v>49</v>
      </c>
      <c r="B51" s="33">
        <v>45372</v>
      </c>
      <c r="C51" s="35" t="s">
        <v>637</v>
      </c>
      <c r="D51" s="32">
        <v>0.60208333333333297</v>
      </c>
      <c r="E51" s="29" t="s">
        <v>799</v>
      </c>
      <c r="F51" s="29" t="s">
        <v>800</v>
      </c>
      <c r="G51" s="29" t="s">
        <v>801</v>
      </c>
      <c r="H51" s="29" t="s">
        <v>46</v>
      </c>
      <c r="I51" s="40" t="s">
        <v>802</v>
      </c>
    </row>
    <row r="52" spans="1:9" ht="166.5">
      <c r="A52" s="29">
        <f>A51+1</f>
        <v>50</v>
      </c>
      <c r="B52" s="33">
        <v>45376</v>
      </c>
      <c r="C52" s="35" t="s">
        <v>637</v>
      </c>
      <c r="D52" s="32">
        <v>0.61805555555555602</v>
      </c>
      <c r="E52" s="29" t="s">
        <v>53</v>
      </c>
      <c r="F52" s="29" t="s">
        <v>803</v>
      </c>
      <c r="G52" s="29" t="s">
        <v>804</v>
      </c>
      <c r="H52" s="29" t="s">
        <v>125</v>
      </c>
      <c r="I52" s="40" t="s">
        <v>805</v>
      </c>
    </row>
    <row r="53" spans="1:9" ht="55.5">
      <c r="A53" s="29">
        <v>51</v>
      </c>
      <c r="B53" s="33">
        <v>45377</v>
      </c>
      <c r="C53" s="35" t="s">
        <v>133</v>
      </c>
      <c r="D53" s="32">
        <v>0.51041666666666696</v>
      </c>
      <c r="E53" s="29" t="s">
        <v>597</v>
      </c>
      <c r="F53" s="29" t="s">
        <v>806</v>
      </c>
      <c r="G53" s="29" t="s">
        <v>807</v>
      </c>
      <c r="H53" s="29" t="s">
        <v>592</v>
      </c>
      <c r="I53" s="43" t="s">
        <v>808</v>
      </c>
    </row>
    <row r="54" spans="1:9" ht="111">
      <c r="A54" s="29">
        <f>A53+1</f>
        <v>52</v>
      </c>
      <c r="B54" s="33">
        <v>45385</v>
      </c>
      <c r="C54" s="35" t="s">
        <v>637</v>
      </c>
      <c r="D54" s="32">
        <v>0.41111111111111098</v>
      </c>
      <c r="E54" s="29" t="s">
        <v>384</v>
      </c>
      <c r="F54" s="29" t="s">
        <v>809</v>
      </c>
      <c r="G54" s="29" t="s">
        <v>810</v>
      </c>
      <c r="H54" s="29" t="s">
        <v>46</v>
      </c>
      <c r="I54" s="43" t="s">
        <v>811</v>
      </c>
    </row>
    <row r="55" spans="1:9" ht="129.5">
      <c r="A55" s="29">
        <v>53</v>
      </c>
      <c r="B55" s="33">
        <v>45386</v>
      </c>
      <c r="C55" s="35" t="s">
        <v>812</v>
      </c>
      <c r="D55" s="32">
        <v>0.39374999999999999</v>
      </c>
      <c r="E55" s="29" t="s">
        <v>47</v>
      </c>
      <c r="F55" s="29" t="s">
        <v>813</v>
      </c>
      <c r="G55" s="29" t="s">
        <v>814</v>
      </c>
      <c r="H55" s="29" t="s">
        <v>279</v>
      </c>
      <c r="I55" s="43" t="s">
        <v>815</v>
      </c>
    </row>
    <row r="56" spans="1:9" ht="74">
      <c r="A56" s="29">
        <v>54</v>
      </c>
      <c r="B56" s="33">
        <v>45390</v>
      </c>
      <c r="C56" s="35" t="s">
        <v>685</v>
      </c>
      <c r="D56" s="32">
        <v>0.63819444444444395</v>
      </c>
      <c r="E56" s="29" t="s">
        <v>316</v>
      </c>
      <c r="F56" s="29" t="s">
        <v>816</v>
      </c>
      <c r="G56" s="29" t="s">
        <v>817</v>
      </c>
      <c r="H56" s="29" t="s">
        <v>232</v>
      </c>
      <c r="I56" s="43" t="s">
        <v>818</v>
      </c>
    </row>
    <row r="57" spans="1:9" ht="129.5">
      <c r="A57" s="29">
        <v>55</v>
      </c>
      <c r="B57" s="33">
        <v>45390</v>
      </c>
      <c r="C57" s="35" t="s">
        <v>685</v>
      </c>
      <c r="D57" s="32">
        <v>0.72430555555555598</v>
      </c>
      <c r="E57" s="29" t="s">
        <v>396</v>
      </c>
      <c r="F57" s="29" t="s">
        <v>819</v>
      </c>
      <c r="G57" s="29" t="s">
        <v>820</v>
      </c>
      <c r="H57" s="29" t="s">
        <v>165</v>
      </c>
      <c r="I57" s="43" t="s">
        <v>821</v>
      </c>
    </row>
    <row r="58" spans="1:9" ht="129.5">
      <c r="A58" s="29">
        <v>56</v>
      </c>
      <c r="B58" s="33">
        <v>45395</v>
      </c>
      <c r="C58" s="35" t="s">
        <v>637</v>
      </c>
      <c r="D58" s="32">
        <v>0.47499999999999998</v>
      </c>
      <c r="E58" s="29" t="s">
        <v>822</v>
      </c>
      <c r="F58" s="29" t="s">
        <v>809</v>
      </c>
      <c r="G58" s="29" t="s">
        <v>810</v>
      </c>
      <c r="H58" s="29" t="s">
        <v>46</v>
      </c>
      <c r="I58" s="40" t="s">
        <v>823</v>
      </c>
    </row>
    <row r="59" spans="1:9" ht="111">
      <c r="A59" s="29">
        <v>57</v>
      </c>
      <c r="B59" s="33">
        <v>45395</v>
      </c>
      <c r="C59" s="29" t="s">
        <v>824</v>
      </c>
      <c r="D59" s="32">
        <v>0.66597222222222197</v>
      </c>
      <c r="E59" s="29" t="s">
        <v>17</v>
      </c>
      <c r="F59" s="29"/>
      <c r="G59" s="29"/>
      <c r="H59" s="29" t="s">
        <v>46</v>
      </c>
      <c r="I59" s="40" t="s">
        <v>825</v>
      </c>
    </row>
    <row r="60" spans="1:9" ht="111">
      <c r="A60" s="29">
        <v>58</v>
      </c>
      <c r="B60" s="33">
        <v>45396</v>
      </c>
      <c r="C60" s="35" t="s">
        <v>637</v>
      </c>
      <c r="D60" s="32">
        <v>0.42916666666666697</v>
      </c>
      <c r="E60" s="29" t="s">
        <v>69</v>
      </c>
      <c r="F60" s="29" t="s">
        <v>826</v>
      </c>
      <c r="G60" s="29" t="s">
        <v>827</v>
      </c>
      <c r="H60" s="29" t="s">
        <v>279</v>
      </c>
      <c r="I60" s="40" t="s">
        <v>828</v>
      </c>
    </row>
    <row r="61" spans="1:9" ht="111">
      <c r="A61" s="29">
        <v>59</v>
      </c>
      <c r="B61" s="33">
        <v>45396</v>
      </c>
      <c r="C61" s="35" t="s">
        <v>685</v>
      </c>
      <c r="D61" s="32">
        <v>0.66249999999999998</v>
      </c>
      <c r="E61" s="29" t="s">
        <v>384</v>
      </c>
      <c r="F61" s="29" t="s">
        <v>809</v>
      </c>
      <c r="G61" s="29" t="s">
        <v>810</v>
      </c>
      <c r="H61" s="29" t="s">
        <v>46</v>
      </c>
      <c r="I61" s="40" t="s">
        <v>829</v>
      </c>
    </row>
    <row r="62" spans="1:9" ht="111">
      <c r="A62" s="29">
        <v>60</v>
      </c>
      <c r="B62" s="33">
        <v>45397</v>
      </c>
      <c r="C62" s="35" t="s">
        <v>38</v>
      </c>
      <c r="D62" s="32">
        <v>0.42986111111111103</v>
      </c>
      <c r="E62" s="29" t="s">
        <v>69</v>
      </c>
      <c r="F62" s="29" t="s">
        <v>826</v>
      </c>
      <c r="G62" s="29" t="s">
        <v>827</v>
      </c>
      <c r="H62" s="29" t="s">
        <v>279</v>
      </c>
      <c r="I62" s="40" t="s">
        <v>830</v>
      </c>
    </row>
    <row r="63" spans="1:9" ht="37">
      <c r="A63" s="29">
        <v>61</v>
      </c>
      <c r="B63" s="33">
        <v>45405</v>
      </c>
      <c r="C63" s="35" t="s">
        <v>38</v>
      </c>
      <c r="D63" s="32">
        <v>0.40069444444444402</v>
      </c>
      <c r="E63" s="29" t="s">
        <v>400</v>
      </c>
      <c r="F63" s="29" t="s">
        <v>831</v>
      </c>
      <c r="G63" s="29" t="s">
        <v>832</v>
      </c>
      <c r="H63" s="29" t="s">
        <v>279</v>
      </c>
      <c r="I63" s="40" t="s">
        <v>833</v>
      </c>
    </row>
    <row r="64" spans="1:9" ht="74">
      <c r="A64" s="29">
        <v>62</v>
      </c>
      <c r="B64" s="33">
        <v>45406</v>
      </c>
      <c r="C64" s="35" t="s">
        <v>38</v>
      </c>
      <c r="D64" s="32">
        <v>0.391666666666667</v>
      </c>
      <c r="E64" s="29" t="s">
        <v>102</v>
      </c>
      <c r="F64" s="29" t="s">
        <v>834</v>
      </c>
      <c r="G64" s="29" t="s">
        <v>835</v>
      </c>
      <c r="H64" s="29" t="s">
        <v>279</v>
      </c>
      <c r="I64" s="40" t="s">
        <v>836</v>
      </c>
    </row>
    <row r="65" spans="1:9" ht="111">
      <c r="A65" s="29">
        <v>63</v>
      </c>
      <c r="B65" s="33">
        <v>45420</v>
      </c>
      <c r="C65" s="35" t="s">
        <v>133</v>
      </c>
      <c r="D65" s="32">
        <v>0.52500000000000002</v>
      </c>
      <c r="E65" s="29" t="s">
        <v>295</v>
      </c>
      <c r="F65" s="29" t="s">
        <v>837</v>
      </c>
      <c r="G65" s="29" t="s">
        <v>838</v>
      </c>
      <c r="H65" s="29" t="s">
        <v>147</v>
      </c>
      <c r="I65" s="40" t="s">
        <v>839</v>
      </c>
    </row>
    <row r="66" spans="1:9" ht="55.5">
      <c r="A66" s="29">
        <v>64</v>
      </c>
      <c r="B66" s="33">
        <v>45421</v>
      </c>
      <c r="C66" s="35" t="s">
        <v>15</v>
      </c>
      <c r="D66" s="32">
        <v>0.61666666666666703</v>
      </c>
      <c r="E66" s="29" t="s">
        <v>840</v>
      </c>
      <c r="F66" s="29" t="s">
        <v>841</v>
      </c>
      <c r="G66" s="29" t="s">
        <v>842</v>
      </c>
      <c r="H66" s="29" t="s">
        <v>586</v>
      </c>
      <c r="I66" s="40" t="s">
        <v>843</v>
      </c>
    </row>
    <row r="67" spans="1:9" ht="55.5">
      <c r="A67" s="29">
        <v>65</v>
      </c>
      <c r="B67" s="33">
        <v>45423</v>
      </c>
      <c r="C67" s="35" t="s">
        <v>38</v>
      </c>
      <c r="D67" s="32">
        <v>0.452083333333333</v>
      </c>
      <c r="E67" s="29" t="s">
        <v>844</v>
      </c>
      <c r="F67" s="29" t="s">
        <v>845</v>
      </c>
      <c r="G67" s="29" t="s">
        <v>846</v>
      </c>
      <c r="H67" s="29" t="s">
        <v>46</v>
      </c>
      <c r="I67" s="40" t="s">
        <v>847</v>
      </c>
    </row>
    <row r="68" spans="1:9" ht="74">
      <c r="A68" s="29">
        <v>66</v>
      </c>
      <c r="B68" s="33">
        <v>45428</v>
      </c>
      <c r="C68" s="35" t="s">
        <v>38</v>
      </c>
      <c r="D68" s="32">
        <v>0.36458333333333298</v>
      </c>
      <c r="E68" s="29" t="s">
        <v>67</v>
      </c>
      <c r="F68" s="29" t="s">
        <v>848</v>
      </c>
      <c r="G68" s="29" t="s">
        <v>849</v>
      </c>
      <c r="H68" s="29" t="s">
        <v>592</v>
      </c>
      <c r="I68" s="40" t="s">
        <v>850</v>
      </c>
    </row>
    <row r="69" spans="1:9" ht="74">
      <c r="A69" s="29">
        <v>67</v>
      </c>
      <c r="B69" s="33">
        <v>45428</v>
      </c>
      <c r="C69" s="35" t="s">
        <v>38</v>
      </c>
      <c r="D69" s="32">
        <v>0.37777777777777799</v>
      </c>
      <c r="E69" s="29" t="s">
        <v>851</v>
      </c>
      <c r="F69" s="29" t="s">
        <v>852</v>
      </c>
      <c r="G69" s="29" t="s">
        <v>853</v>
      </c>
      <c r="H69" s="29" t="s">
        <v>46</v>
      </c>
      <c r="I69" s="40" t="s">
        <v>854</v>
      </c>
    </row>
    <row r="70" spans="1:9" ht="55.5">
      <c r="A70" s="29">
        <v>68</v>
      </c>
      <c r="B70" s="33">
        <v>45440</v>
      </c>
      <c r="C70" s="35" t="s">
        <v>38</v>
      </c>
      <c r="D70" s="32">
        <v>0.3</v>
      </c>
      <c r="E70" s="29" t="s">
        <v>339</v>
      </c>
      <c r="F70" s="29" t="s">
        <v>855</v>
      </c>
      <c r="G70" s="29" t="s">
        <v>856</v>
      </c>
      <c r="H70" s="29" t="s">
        <v>292</v>
      </c>
      <c r="I70" s="40" t="s">
        <v>857</v>
      </c>
    </row>
    <row r="71" spans="1:9" ht="55.5">
      <c r="A71" s="29">
        <v>69</v>
      </c>
      <c r="B71" s="33">
        <v>45442</v>
      </c>
      <c r="C71" s="35" t="s">
        <v>685</v>
      </c>
      <c r="D71" s="44">
        <v>0.76252314814814803</v>
      </c>
      <c r="E71" s="29" t="s">
        <v>434</v>
      </c>
      <c r="F71" s="29" t="s">
        <v>858</v>
      </c>
      <c r="G71" s="29" t="s">
        <v>859</v>
      </c>
      <c r="H71" s="29" t="s">
        <v>663</v>
      </c>
      <c r="I71" s="40" t="s">
        <v>860</v>
      </c>
    </row>
    <row r="72" spans="1:9" ht="92.5">
      <c r="A72" s="29">
        <v>70</v>
      </c>
      <c r="B72" s="33">
        <v>45443</v>
      </c>
      <c r="C72" s="35" t="s">
        <v>133</v>
      </c>
      <c r="D72" s="32">
        <v>0.76597222222222205</v>
      </c>
      <c r="E72" s="29" t="s">
        <v>861</v>
      </c>
      <c r="F72" s="29" t="s">
        <v>862</v>
      </c>
      <c r="G72" s="29" t="s">
        <v>863</v>
      </c>
      <c r="H72" s="29" t="s">
        <v>125</v>
      </c>
      <c r="I72" s="40" t="s">
        <v>864</v>
      </c>
    </row>
    <row r="73" spans="1:9" ht="92.5">
      <c r="A73" s="29">
        <v>71</v>
      </c>
      <c r="B73" s="33">
        <v>45447</v>
      </c>
      <c r="C73" s="35" t="s">
        <v>38</v>
      </c>
      <c r="D73" s="32">
        <v>0.51805555555555605</v>
      </c>
      <c r="E73" s="29" t="s">
        <v>366</v>
      </c>
      <c r="F73" s="29" t="s">
        <v>865</v>
      </c>
      <c r="G73" s="29" t="s">
        <v>866</v>
      </c>
      <c r="H73" s="29" t="s">
        <v>663</v>
      </c>
      <c r="I73" s="40" t="s">
        <v>867</v>
      </c>
    </row>
    <row r="74" spans="1:9" ht="111">
      <c r="A74" s="29">
        <v>72</v>
      </c>
      <c r="B74" s="33">
        <v>45449</v>
      </c>
      <c r="C74" s="35" t="s">
        <v>38</v>
      </c>
      <c r="D74" s="32">
        <v>0.51875000000000004</v>
      </c>
      <c r="E74" s="29" t="s">
        <v>67</v>
      </c>
      <c r="F74" s="29" t="s">
        <v>848</v>
      </c>
      <c r="G74" s="29" t="s">
        <v>849</v>
      </c>
      <c r="H74" s="29" t="s">
        <v>592</v>
      </c>
      <c r="I74" s="40" t="s">
        <v>868</v>
      </c>
    </row>
    <row r="75" spans="1:9" ht="74">
      <c r="A75" s="29">
        <v>73</v>
      </c>
      <c r="B75" s="33">
        <v>45449</v>
      </c>
      <c r="C75" s="35" t="s">
        <v>38</v>
      </c>
      <c r="D75" s="32">
        <v>0.33333333333333298</v>
      </c>
      <c r="E75" s="29" t="s">
        <v>869</v>
      </c>
      <c r="F75" s="29" t="s">
        <v>870</v>
      </c>
      <c r="G75" s="29" t="s">
        <v>871</v>
      </c>
      <c r="H75" s="29" t="s">
        <v>586</v>
      </c>
      <c r="I75" s="40" t="s">
        <v>872</v>
      </c>
    </row>
    <row r="76" spans="1:9" ht="92.5">
      <c r="A76" s="29">
        <v>74</v>
      </c>
      <c r="B76" s="33">
        <v>45454</v>
      </c>
      <c r="C76" s="35" t="s">
        <v>15</v>
      </c>
      <c r="D76" s="32">
        <v>0.32986111111111099</v>
      </c>
      <c r="E76" s="29" t="s">
        <v>32</v>
      </c>
      <c r="F76" s="29" t="s">
        <v>873</v>
      </c>
      <c r="G76" s="29" t="s">
        <v>874</v>
      </c>
      <c r="H76" s="29" t="s">
        <v>292</v>
      </c>
      <c r="I76" s="40" t="s">
        <v>875</v>
      </c>
    </row>
    <row r="77" spans="1:9" ht="74">
      <c r="A77" s="29">
        <v>75</v>
      </c>
      <c r="B77" s="33">
        <v>45477</v>
      </c>
      <c r="C77" s="35" t="s">
        <v>38</v>
      </c>
      <c r="D77" s="32">
        <v>0.77152777777777803</v>
      </c>
      <c r="E77" s="29" t="s">
        <v>281</v>
      </c>
      <c r="F77" s="29" t="s">
        <v>876</v>
      </c>
      <c r="G77" s="29" t="s">
        <v>877</v>
      </c>
      <c r="H77" s="29" t="s">
        <v>125</v>
      </c>
      <c r="I77" s="40" t="s">
        <v>878</v>
      </c>
    </row>
    <row r="78" spans="1:9" ht="55.5">
      <c r="A78" s="29">
        <v>76</v>
      </c>
      <c r="B78" s="33">
        <v>45478</v>
      </c>
      <c r="C78" s="35" t="s">
        <v>685</v>
      </c>
      <c r="D78" s="32">
        <v>0.749305555555556</v>
      </c>
      <c r="E78" s="29" t="s">
        <v>402</v>
      </c>
      <c r="F78" s="29" t="s">
        <v>879</v>
      </c>
      <c r="G78" s="29" t="s">
        <v>880</v>
      </c>
      <c r="H78" s="29" t="s">
        <v>663</v>
      </c>
      <c r="I78" s="40" t="s">
        <v>881</v>
      </c>
    </row>
    <row r="79" spans="1:9" ht="74">
      <c r="A79" s="29">
        <v>77</v>
      </c>
      <c r="B79" s="33">
        <v>45480</v>
      </c>
      <c r="C79" s="35" t="s">
        <v>38</v>
      </c>
      <c r="D79" s="32">
        <v>0.58263888888888904</v>
      </c>
      <c r="E79" s="29" t="s">
        <v>602</v>
      </c>
      <c r="F79" s="29" t="s">
        <v>882</v>
      </c>
      <c r="G79" s="29" t="s">
        <v>883</v>
      </c>
      <c r="H79" s="29" t="s">
        <v>586</v>
      </c>
      <c r="I79" s="40" t="s">
        <v>884</v>
      </c>
    </row>
    <row r="80" spans="1:9" ht="18.5">
      <c r="A80" s="29">
        <v>78</v>
      </c>
      <c r="B80" s="33">
        <v>45481</v>
      </c>
      <c r="C80" s="35" t="s">
        <v>885</v>
      </c>
      <c r="D80" s="32">
        <v>0.95625000000000004</v>
      </c>
      <c r="E80" s="29" t="s">
        <v>301</v>
      </c>
      <c r="F80" s="29" t="s">
        <v>886</v>
      </c>
      <c r="G80" s="29" t="s">
        <v>887</v>
      </c>
      <c r="H80" s="29" t="s">
        <v>46</v>
      </c>
      <c r="I80" s="40" t="s">
        <v>888</v>
      </c>
    </row>
    <row r="81" spans="1:9" ht="129.5">
      <c r="A81" s="29">
        <v>79</v>
      </c>
      <c r="B81" s="33">
        <v>45482</v>
      </c>
      <c r="C81" s="35" t="s">
        <v>885</v>
      </c>
      <c r="D81" s="32">
        <v>0.96111111111111103</v>
      </c>
      <c r="E81" s="29" t="s">
        <v>381</v>
      </c>
      <c r="F81" s="29" t="s">
        <v>889</v>
      </c>
      <c r="G81" s="29" t="s">
        <v>890</v>
      </c>
      <c r="H81" s="29" t="s">
        <v>46</v>
      </c>
      <c r="I81" s="40" t="s">
        <v>891</v>
      </c>
    </row>
    <row r="82" spans="1:9" ht="74">
      <c r="A82" s="29">
        <v>80</v>
      </c>
      <c r="B82" s="33">
        <v>45484</v>
      </c>
      <c r="C82" s="35" t="s">
        <v>38</v>
      </c>
      <c r="D82" s="32">
        <v>0.40902777777777799</v>
      </c>
      <c r="E82" s="29" t="s">
        <v>339</v>
      </c>
      <c r="F82" s="29" t="s">
        <v>855</v>
      </c>
      <c r="G82" s="29" t="s">
        <v>892</v>
      </c>
      <c r="H82" s="29" t="s">
        <v>292</v>
      </c>
      <c r="I82" s="40" t="s">
        <v>893</v>
      </c>
    </row>
    <row r="83" spans="1:9" ht="92.5">
      <c r="A83" s="29">
        <v>81</v>
      </c>
      <c r="B83" s="33">
        <v>45488</v>
      </c>
      <c r="C83" s="35" t="s">
        <v>685</v>
      </c>
      <c r="D83" s="32">
        <v>0.51041666666666696</v>
      </c>
      <c r="E83" s="29" t="s">
        <v>374</v>
      </c>
      <c r="F83" s="29" t="s">
        <v>894</v>
      </c>
      <c r="G83" s="29" t="s">
        <v>895</v>
      </c>
      <c r="H83" s="29" t="s">
        <v>294</v>
      </c>
      <c r="I83" s="40" t="s">
        <v>896</v>
      </c>
    </row>
    <row r="84" spans="1:9" ht="148">
      <c r="A84" s="29">
        <v>82</v>
      </c>
      <c r="B84" s="33">
        <v>45489</v>
      </c>
      <c r="C84" s="29" t="s">
        <v>685</v>
      </c>
      <c r="D84" s="32">
        <v>0.62291666666666701</v>
      </c>
      <c r="E84" s="29" t="s">
        <v>352</v>
      </c>
      <c r="F84" s="29" t="s">
        <v>897</v>
      </c>
      <c r="G84" s="29" t="s">
        <v>898</v>
      </c>
      <c r="H84" s="29" t="s">
        <v>165</v>
      </c>
      <c r="I84" s="40" t="s">
        <v>899</v>
      </c>
    </row>
    <row r="85" spans="1:9" ht="92.5">
      <c r="A85" s="29">
        <v>83</v>
      </c>
      <c r="B85" s="33">
        <v>45490</v>
      </c>
      <c r="C85" s="29" t="s">
        <v>38</v>
      </c>
      <c r="D85" s="32">
        <v>0.70069444444444395</v>
      </c>
      <c r="E85" s="29" t="s">
        <v>900</v>
      </c>
      <c r="F85" s="29" t="s">
        <v>901</v>
      </c>
      <c r="G85" s="29" t="s">
        <v>902</v>
      </c>
      <c r="H85" s="29" t="s">
        <v>46</v>
      </c>
      <c r="I85" s="40" t="s">
        <v>903</v>
      </c>
    </row>
    <row r="86" spans="1:9" ht="92.5">
      <c r="A86" s="29">
        <v>84</v>
      </c>
      <c r="B86" s="33">
        <v>45491</v>
      </c>
      <c r="C86" s="29" t="s">
        <v>38</v>
      </c>
      <c r="D86" s="32">
        <v>0.51458333333333295</v>
      </c>
      <c r="E86" s="29" t="s">
        <v>54</v>
      </c>
      <c r="F86" s="29" t="s">
        <v>904</v>
      </c>
      <c r="G86" s="29" t="s">
        <v>905</v>
      </c>
      <c r="H86" s="29" t="s">
        <v>134</v>
      </c>
      <c r="I86" s="40" t="s">
        <v>906</v>
      </c>
    </row>
    <row r="87" spans="1:9" ht="111">
      <c r="A87" s="29">
        <v>85</v>
      </c>
      <c r="B87" s="33">
        <v>45494</v>
      </c>
      <c r="C87" s="29" t="s">
        <v>685</v>
      </c>
      <c r="D87" s="32">
        <v>0.48819444444444399</v>
      </c>
      <c r="E87" s="29" t="s">
        <v>88</v>
      </c>
      <c r="F87" s="29" t="s">
        <v>907</v>
      </c>
      <c r="G87" s="29" t="s">
        <v>908</v>
      </c>
      <c r="H87" s="29" t="s">
        <v>592</v>
      </c>
      <c r="I87" s="40" t="s">
        <v>909</v>
      </c>
    </row>
    <row r="88" spans="1:9" ht="18.5">
      <c r="A88" s="29">
        <v>86</v>
      </c>
      <c r="B88" s="33">
        <v>45496</v>
      </c>
      <c r="C88" s="29" t="s">
        <v>910</v>
      </c>
      <c r="D88" s="32">
        <v>0.63541666666666696</v>
      </c>
      <c r="E88" s="29" t="s">
        <v>374</v>
      </c>
      <c r="F88" s="29" t="s">
        <v>678</v>
      </c>
      <c r="G88" s="29" t="s">
        <v>679</v>
      </c>
      <c r="H88" s="29" t="s">
        <v>294</v>
      </c>
      <c r="I88" s="40"/>
    </row>
    <row r="89" spans="1:9" ht="74">
      <c r="A89" s="29">
        <v>87</v>
      </c>
      <c r="B89" s="33">
        <v>45496</v>
      </c>
      <c r="C89" s="29" t="s">
        <v>685</v>
      </c>
      <c r="D89" s="32">
        <v>0.92013888888888895</v>
      </c>
      <c r="E89" s="29" t="s">
        <v>68</v>
      </c>
      <c r="F89" s="29" t="s">
        <v>911</v>
      </c>
      <c r="G89" s="29" t="s">
        <v>912</v>
      </c>
      <c r="H89" s="29" t="s">
        <v>587</v>
      </c>
      <c r="I89" s="40" t="s">
        <v>913</v>
      </c>
    </row>
    <row r="90" spans="1:9" ht="92.5">
      <c r="A90" s="29">
        <v>88</v>
      </c>
      <c r="B90" s="33">
        <v>45513</v>
      </c>
      <c r="C90" s="29" t="s">
        <v>685</v>
      </c>
      <c r="D90" s="32">
        <v>0.37222222222222201</v>
      </c>
      <c r="E90" s="29" t="s">
        <v>92</v>
      </c>
      <c r="F90" s="29" t="s">
        <v>914</v>
      </c>
      <c r="G90" s="29" t="s">
        <v>915</v>
      </c>
      <c r="H90" s="29" t="s">
        <v>141</v>
      </c>
      <c r="I90" s="40" t="s">
        <v>916</v>
      </c>
    </row>
    <row r="91" spans="1:9" ht="37">
      <c r="A91" s="29">
        <v>89</v>
      </c>
      <c r="B91" s="33">
        <v>45645</v>
      </c>
      <c r="C91" s="29" t="s">
        <v>38</v>
      </c>
      <c r="D91" s="32">
        <v>0.51736111111111105</v>
      </c>
      <c r="E91" s="29" t="s">
        <v>917</v>
      </c>
      <c r="F91" s="40" t="s">
        <v>918</v>
      </c>
      <c r="G91" s="29" t="s">
        <v>919</v>
      </c>
      <c r="H91" s="29" t="s">
        <v>663</v>
      </c>
      <c r="I91" s="40" t="s">
        <v>920</v>
      </c>
    </row>
    <row r="92" spans="1:9" ht="74">
      <c r="A92" s="29">
        <v>90</v>
      </c>
      <c r="B92" s="33">
        <v>45703</v>
      </c>
      <c r="C92" s="29" t="s">
        <v>38</v>
      </c>
      <c r="D92" s="32">
        <v>0.57499999999999996</v>
      </c>
      <c r="E92" s="29" t="s">
        <v>330</v>
      </c>
      <c r="F92" s="29" t="s">
        <v>921</v>
      </c>
      <c r="G92" s="29" t="s">
        <v>922</v>
      </c>
      <c r="H92" s="29" t="s">
        <v>292</v>
      </c>
      <c r="I92" s="40" t="s">
        <v>923</v>
      </c>
    </row>
    <row r="93" spans="1:9" ht="37">
      <c r="A93" s="29">
        <v>91</v>
      </c>
      <c r="B93" s="33">
        <v>45764</v>
      </c>
      <c r="C93" s="29" t="s">
        <v>924</v>
      </c>
      <c r="D93" s="32">
        <v>0.65069444444444402</v>
      </c>
      <c r="E93" s="29" t="s">
        <v>40</v>
      </c>
      <c r="F93" s="29" t="s">
        <v>925</v>
      </c>
      <c r="G93" s="29" t="s">
        <v>926</v>
      </c>
      <c r="H93" s="29" t="s">
        <v>294</v>
      </c>
      <c r="I93" s="40" t="s">
        <v>927</v>
      </c>
    </row>
    <row r="94" spans="1:9" ht="55.5">
      <c r="A94" s="29">
        <v>92</v>
      </c>
      <c r="B94" s="33">
        <v>45817</v>
      </c>
      <c r="C94" s="29" t="s">
        <v>38</v>
      </c>
      <c r="D94" s="32">
        <v>0.656944444444444</v>
      </c>
      <c r="E94" s="29" t="s">
        <v>928</v>
      </c>
      <c r="F94" s="29" t="s">
        <v>929</v>
      </c>
      <c r="G94" s="29" t="s">
        <v>930</v>
      </c>
      <c r="H94" s="29" t="s">
        <v>586</v>
      </c>
      <c r="I94" s="40" t="s">
        <v>931</v>
      </c>
    </row>
    <row r="95" spans="1:9" ht="74">
      <c r="A95" s="29">
        <v>93</v>
      </c>
      <c r="B95" s="33">
        <v>45868</v>
      </c>
      <c r="C95" s="29" t="s">
        <v>910</v>
      </c>
      <c r="D95" s="32">
        <v>0.46319444444444402</v>
      </c>
      <c r="E95" s="29" t="s">
        <v>932</v>
      </c>
      <c r="F95" s="29" t="s">
        <v>933</v>
      </c>
      <c r="G95" s="29" t="s">
        <v>934</v>
      </c>
      <c r="H95" s="29" t="s">
        <v>294</v>
      </c>
      <c r="I95" s="40" t="s">
        <v>935</v>
      </c>
    </row>
    <row r="96" spans="1:9" ht="111">
      <c r="A96" s="29">
        <v>94</v>
      </c>
      <c r="B96" s="33">
        <v>45916</v>
      </c>
      <c r="C96" s="29" t="s">
        <v>685</v>
      </c>
      <c r="D96" s="32">
        <v>0.52777777777777801</v>
      </c>
      <c r="E96" s="31" t="s">
        <v>97</v>
      </c>
      <c r="F96" s="31" t="s">
        <v>936</v>
      </c>
      <c r="G96" s="31" t="s">
        <v>937</v>
      </c>
      <c r="H96" s="29" t="s">
        <v>147</v>
      </c>
      <c r="I96" s="40" t="s">
        <v>938</v>
      </c>
    </row>
    <row r="97" spans="1:9" ht="129.5">
      <c r="A97" s="29">
        <v>95</v>
      </c>
      <c r="B97" s="33">
        <v>45937</v>
      </c>
      <c r="C97" s="29" t="s">
        <v>85</v>
      </c>
      <c r="D97" s="32">
        <v>0.421527777777778</v>
      </c>
      <c r="E97" s="31" t="s">
        <v>406</v>
      </c>
      <c r="F97" s="31" t="s">
        <v>939</v>
      </c>
      <c r="G97" s="31" t="s">
        <v>940</v>
      </c>
      <c r="H97" s="29" t="s">
        <v>147</v>
      </c>
      <c r="I97" s="40" t="s">
        <v>941</v>
      </c>
    </row>
    <row r="98" spans="1:9" ht="92.5">
      <c r="A98" s="29">
        <v>96</v>
      </c>
      <c r="B98" s="33">
        <v>46013</v>
      </c>
      <c r="C98" s="29" t="s">
        <v>38</v>
      </c>
      <c r="D98" s="32">
        <v>0.6</v>
      </c>
      <c r="E98" s="31" t="s">
        <v>1040</v>
      </c>
      <c r="F98" s="31" t="s">
        <v>1041</v>
      </c>
      <c r="G98" s="31" t="s">
        <v>72</v>
      </c>
      <c r="H98" s="29" t="s">
        <v>294</v>
      </c>
      <c r="I98" s="40" t="s">
        <v>1042</v>
      </c>
    </row>
    <row r="99" spans="1:9" ht="93.75" customHeight="1">
      <c r="A99" s="29">
        <v>97</v>
      </c>
      <c r="B99" s="33">
        <v>46045</v>
      </c>
      <c r="C99" s="29" t="s">
        <v>27</v>
      </c>
      <c r="D99" s="32">
        <v>0.70902777777777781</v>
      </c>
      <c r="E99" s="31" t="s">
        <v>1072</v>
      </c>
      <c r="F99" s="31" t="s">
        <v>1070</v>
      </c>
      <c r="G99" s="31" t="s">
        <v>1071</v>
      </c>
      <c r="H99" s="29" t="s">
        <v>46</v>
      </c>
      <c r="I99" s="40" t="s">
        <v>1073</v>
      </c>
    </row>
    <row r="100" spans="1:9" ht="120" customHeight="1">
      <c r="A100" s="29">
        <v>98</v>
      </c>
      <c r="B100" s="33">
        <v>46047</v>
      </c>
      <c r="C100" s="29" t="s">
        <v>27</v>
      </c>
      <c r="D100" s="32">
        <v>0.49583333333333335</v>
      </c>
      <c r="E100" s="31" t="s">
        <v>339</v>
      </c>
      <c r="F100" s="31" t="s">
        <v>1064</v>
      </c>
      <c r="G100" s="31" t="s">
        <v>1063</v>
      </c>
      <c r="H100" s="29" t="s">
        <v>292</v>
      </c>
      <c r="I100" s="40" t="s">
        <v>1075</v>
      </c>
    </row>
    <row r="101" spans="1:9" ht="261.75" customHeight="1">
      <c r="A101" s="29">
        <v>99</v>
      </c>
      <c r="B101" s="33">
        <v>46050</v>
      </c>
      <c r="C101" s="29" t="s">
        <v>27</v>
      </c>
      <c r="D101" s="32">
        <v>0.74305555555555558</v>
      </c>
      <c r="E101" s="31" t="s">
        <v>1076</v>
      </c>
      <c r="F101" s="31" t="s">
        <v>1069</v>
      </c>
      <c r="G101" s="31" t="s">
        <v>1067</v>
      </c>
      <c r="H101" s="29" t="s">
        <v>46</v>
      </c>
      <c r="I101" s="40" t="s">
        <v>1077</v>
      </c>
    </row>
    <row r="102" spans="1:9" ht="261.75" customHeight="1">
      <c r="A102" s="29">
        <v>100</v>
      </c>
      <c r="B102" s="33">
        <v>46056</v>
      </c>
      <c r="C102" s="29" t="s">
        <v>27</v>
      </c>
      <c r="D102" s="32">
        <v>0.76944444444444449</v>
      </c>
      <c r="E102" s="31" t="s">
        <v>463</v>
      </c>
      <c r="F102" s="31" t="s">
        <v>1079</v>
      </c>
      <c r="G102" s="31" t="s">
        <v>1080</v>
      </c>
      <c r="H102" s="29" t="s">
        <v>279</v>
      </c>
      <c r="I102" s="40" t="s">
        <v>1081</v>
      </c>
    </row>
    <row r="103" spans="1:9" ht="261.75" customHeight="1">
      <c r="A103" s="29">
        <v>101</v>
      </c>
      <c r="B103" s="33">
        <v>46067</v>
      </c>
      <c r="C103" s="29" t="s">
        <v>27</v>
      </c>
      <c r="D103" s="32">
        <v>0.67638888888888893</v>
      </c>
      <c r="E103" s="31" t="s">
        <v>32</v>
      </c>
      <c r="F103" s="31" t="s">
        <v>1091</v>
      </c>
      <c r="G103" s="31" t="s">
        <v>1090</v>
      </c>
      <c r="H103" s="29" t="s">
        <v>292</v>
      </c>
      <c r="I103" s="40" t="s">
        <v>1089</v>
      </c>
    </row>
    <row r="104" spans="1:9" ht="129.5">
      <c r="A104" s="29">
        <v>102</v>
      </c>
      <c r="B104" s="33">
        <v>46068</v>
      </c>
      <c r="C104" s="29" t="s">
        <v>27</v>
      </c>
      <c r="D104" s="32">
        <v>0.45833333333333331</v>
      </c>
      <c r="E104" s="31" t="s">
        <v>844</v>
      </c>
      <c r="F104" s="31" t="s">
        <v>1093</v>
      </c>
      <c r="G104" s="31" t="s">
        <v>1094</v>
      </c>
      <c r="H104" s="29" t="s">
        <v>46</v>
      </c>
      <c r="I104" s="40" t="s">
        <v>1092</v>
      </c>
    </row>
    <row r="105" spans="1:9" ht="118.5" customHeight="1">
      <c r="A105" s="29">
        <v>103</v>
      </c>
      <c r="B105" s="33">
        <v>46073</v>
      </c>
      <c r="C105" s="29" t="s">
        <v>27</v>
      </c>
      <c r="D105" s="32">
        <v>0.75</v>
      </c>
      <c r="E105" s="31" t="s">
        <v>844</v>
      </c>
      <c r="F105" s="31" t="s">
        <v>901</v>
      </c>
      <c r="G105" s="31" t="s">
        <v>902</v>
      </c>
      <c r="H105" s="29" t="s">
        <v>46</v>
      </c>
      <c r="I105" s="40" t="s">
        <v>1097</v>
      </c>
    </row>
    <row r="106" spans="1:9" ht="118.5" customHeight="1">
      <c r="A106" s="109">
        <v>104</v>
      </c>
      <c r="B106" s="110">
        <v>46079</v>
      </c>
      <c r="C106" s="109" t="s">
        <v>85</v>
      </c>
      <c r="D106" s="111">
        <v>0.6479166666666667</v>
      </c>
      <c r="E106" s="112" t="s">
        <v>56</v>
      </c>
      <c r="F106" s="112" t="s">
        <v>1111</v>
      </c>
      <c r="G106" s="112" t="s">
        <v>1110</v>
      </c>
      <c r="H106" s="109" t="s">
        <v>279</v>
      </c>
      <c r="I106" s="113" t="s">
        <v>1112</v>
      </c>
    </row>
    <row r="107" spans="1:9" s="6" customFormat="1" ht="100.5" customHeight="1">
      <c r="A107" s="29">
        <v>105</v>
      </c>
      <c r="B107" s="33">
        <v>46094</v>
      </c>
      <c r="C107" s="29" t="s">
        <v>27</v>
      </c>
      <c r="D107" s="32">
        <v>0.61250000000000004</v>
      </c>
      <c r="E107" s="31" t="s">
        <v>1730</v>
      </c>
      <c r="F107" s="31" t="s">
        <v>1733</v>
      </c>
      <c r="G107" s="31" t="s">
        <v>1732</v>
      </c>
      <c r="H107" s="29" t="s">
        <v>165</v>
      </c>
      <c r="I107" s="40" t="s">
        <v>1731</v>
      </c>
    </row>
    <row r="108" spans="1:9" s="6" customFormat="1" ht="142.5" customHeight="1">
      <c r="A108" s="29">
        <v>105</v>
      </c>
      <c r="B108" s="33">
        <v>46095</v>
      </c>
      <c r="C108" s="29" t="s">
        <v>27</v>
      </c>
      <c r="D108" s="32">
        <v>0.54791666666666672</v>
      </c>
      <c r="E108" s="31" t="s">
        <v>1801</v>
      </c>
      <c r="F108" s="31" t="s">
        <v>1786</v>
      </c>
      <c r="G108" s="31" t="s">
        <v>1787</v>
      </c>
      <c r="H108" s="29" t="s">
        <v>332</v>
      </c>
      <c r="I108" s="40" t="s">
        <v>1802</v>
      </c>
    </row>
    <row r="109" spans="1:9" s="6" customFormat="1" ht="142.5" customHeight="1">
      <c r="A109" s="29">
        <v>105</v>
      </c>
      <c r="B109" s="33">
        <v>46097</v>
      </c>
      <c r="C109" s="29" t="s">
        <v>27</v>
      </c>
      <c r="D109" s="32">
        <v>0.93541666666666667</v>
      </c>
      <c r="E109" s="31" t="s">
        <v>329</v>
      </c>
      <c r="F109" s="31" t="s">
        <v>1833</v>
      </c>
      <c r="G109" s="31" t="s">
        <v>1834</v>
      </c>
      <c r="H109" s="29" t="s">
        <v>292</v>
      </c>
      <c r="I109" s="40" t="s">
        <v>1831</v>
      </c>
    </row>
  </sheetData>
  <mergeCells count="9">
    <mergeCell ref="F47:F48"/>
    <mergeCell ref="G47:G48"/>
    <mergeCell ref="H47:H48"/>
    <mergeCell ref="I47:I48"/>
    <mergeCell ref="A47:A48"/>
    <mergeCell ref="B47:B48"/>
    <mergeCell ref="C47:C48"/>
    <mergeCell ref="D47:D48"/>
    <mergeCell ref="E47:E4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18"/>
  <sheetViews>
    <sheetView workbookViewId="0">
      <selection activeCell="G13" sqref="G13"/>
    </sheetView>
  </sheetViews>
  <sheetFormatPr defaultColWidth="9" defaultRowHeight="14.5"/>
  <cols>
    <col min="1" max="1" width="7" customWidth="1"/>
    <col min="2" max="2" width="14.453125" customWidth="1"/>
    <col min="3" max="3" width="24.7265625" customWidth="1"/>
    <col min="4" max="4" width="35.7265625" customWidth="1"/>
  </cols>
  <sheetData>
    <row r="1" spans="1:4" ht="17.5">
      <c r="A1" s="14" t="s">
        <v>107</v>
      </c>
      <c r="B1" s="15" t="s">
        <v>942</v>
      </c>
      <c r="C1" s="16" t="s">
        <v>943</v>
      </c>
      <c r="D1" s="14" t="s">
        <v>944</v>
      </c>
    </row>
    <row r="2" spans="1:4">
      <c r="A2" s="117">
        <v>1</v>
      </c>
      <c r="B2" s="121" t="s">
        <v>46</v>
      </c>
      <c r="C2" s="128">
        <v>7358278111</v>
      </c>
      <c r="D2" s="128">
        <v>7358278111</v>
      </c>
    </row>
    <row r="3" spans="1:4">
      <c r="A3" s="118"/>
      <c r="B3" s="122"/>
      <c r="C3" s="129"/>
      <c r="D3" s="129"/>
    </row>
    <row r="4" spans="1:4" ht="21">
      <c r="A4" s="17">
        <v>2</v>
      </c>
      <c r="B4" s="18" t="s">
        <v>151</v>
      </c>
      <c r="C4" s="19">
        <v>8056901333</v>
      </c>
      <c r="D4" s="19">
        <v>8056901333</v>
      </c>
    </row>
    <row r="5" spans="1:4" ht="21">
      <c r="A5" s="17">
        <v>3</v>
      </c>
      <c r="B5" s="20" t="s">
        <v>165</v>
      </c>
      <c r="C5" s="19">
        <v>7358067890</v>
      </c>
      <c r="D5" s="19">
        <v>9773341800</v>
      </c>
    </row>
    <row r="6" spans="1:4" ht="18">
      <c r="A6" s="117">
        <v>4</v>
      </c>
      <c r="B6" s="123" t="s">
        <v>332</v>
      </c>
      <c r="C6" s="21" t="s">
        <v>945</v>
      </c>
      <c r="D6" s="130" t="s">
        <v>945</v>
      </c>
    </row>
    <row r="7" spans="1:4" ht="18">
      <c r="A7" s="119"/>
      <c r="B7" s="124"/>
      <c r="C7" s="21" t="s">
        <v>946</v>
      </c>
      <c r="D7" s="131"/>
    </row>
    <row r="8" spans="1:4" ht="18">
      <c r="A8" s="120"/>
      <c r="B8" s="125"/>
      <c r="C8" s="22" t="s">
        <v>947</v>
      </c>
      <c r="D8" s="132"/>
    </row>
    <row r="9" spans="1:4" ht="21">
      <c r="A9" s="17">
        <v>5</v>
      </c>
      <c r="B9" s="23" t="s">
        <v>141</v>
      </c>
      <c r="C9" s="19">
        <v>8220539222</v>
      </c>
      <c r="D9" s="19">
        <v>8220539222</v>
      </c>
    </row>
    <row r="10" spans="1:4" ht="21">
      <c r="A10" s="17">
        <v>6</v>
      </c>
      <c r="B10" s="18" t="s">
        <v>948</v>
      </c>
      <c r="C10" s="19">
        <v>9677110001</v>
      </c>
      <c r="D10" s="19">
        <v>9677110001</v>
      </c>
    </row>
    <row r="11" spans="1:4" ht="21">
      <c r="A11" s="17">
        <v>7</v>
      </c>
      <c r="B11" s="24" t="s">
        <v>949</v>
      </c>
      <c r="C11" s="19">
        <v>8056847333</v>
      </c>
      <c r="D11" s="19" t="s">
        <v>950</v>
      </c>
    </row>
    <row r="12" spans="1:4" ht="21">
      <c r="A12" s="17">
        <v>8</v>
      </c>
      <c r="B12" s="25" t="s">
        <v>671</v>
      </c>
      <c r="C12" s="19">
        <v>8056586333</v>
      </c>
      <c r="D12" s="19">
        <v>8056586333</v>
      </c>
    </row>
    <row r="13" spans="1:4" ht="21">
      <c r="A13" s="17">
        <v>9</v>
      </c>
      <c r="B13" s="23" t="s">
        <v>663</v>
      </c>
      <c r="C13" s="19">
        <v>8220463222</v>
      </c>
      <c r="D13" s="19">
        <v>8472200673</v>
      </c>
    </row>
    <row r="14" spans="1:4">
      <c r="A14" s="117">
        <v>10</v>
      </c>
      <c r="B14" s="126" t="s">
        <v>294</v>
      </c>
      <c r="C14" s="128">
        <v>7358550022</v>
      </c>
      <c r="D14" s="128" t="s">
        <v>951</v>
      </c>
    </row>
    <row r="15" spans="1:4">
      <c r="A15" s="118"/>
      <c r="B15" s="127"/>
      <c r="C15" s="129"/>
      <c r="D15" s="129"/>
    </row>
    <row r="16" spans="1:4" ht="21">
      <c r="A16" s="17">
        <v>11</v>
      </c>
      <c r="B16" s="26" t="s">
        <v>952</v>
      </c>
      <c r="C16" s="19">
        <v>7200108123</v>
      </c>
      <c r="D16" s="19">
        <v>7200108123</v>
      </c>
    </row>
    <row r="17" spans="1:4" ht="21">
      <c r="A17" s="17">
        <v>12</v>
      </c>
      <c r="B17" s="24" t="s">
        <v>953</v>
      </c>
      <c r="C17" s="19">
        <v>7358253999</v>
      </c>
      <c r="D17" s="19">
        <v>7358253999</v>
      </c>
    </row>
    <row r="18" spans="1:4" ht="21">
      <c r="A18" s="17">
        <v>13</v>
      </c>
      <c r="B18" s="23" t="s">
        <v>292</v>
      </c>
      <c r="C18" s="19">
        <v>8754106222</v>
      </c>
      <c r="D18" s="19">
        <v>8754106222</v>
      </c>
    </row>
  </sheetData>
  <mergeCells count="11">
    <mergeCell ref="C2:C3"/>
    <mergeCell ref="C14:C15"/>
    <mergeCell ref="D2:D3"/>
    <mergeCell ref="D6:D8"/>
    <mergeCell ref="D14:D15"/>
    <mergeCell ref="A2:A3"/>
    <mergeCell ref="A6:A8"/>
    <mergeCell ref="A14:A15"/>
    <mergeCell ref="B2:B3"/>
    <mergeCell ref="B6:B8"/>
    <mergeCell ref="B14:B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H19"/>
  <sheetViews>
    <sheetView topLeftCell="B1" workbookViewId="0">
      <selection activeCell="D6" sqref="D6"/>
    </sheetView>
  </sheetViews>
  <sheetFormatPr defaultColWidth="9" defaultRowHeight="14.5"/>
  <cols>
    <col min="1" max="1" width="5.1796875" customWidth="1"/>
    <col min="2" max="2" width="9.7265625" customWidth="1"/>
    <col min="3" max="3" width="20" customWidth="1"/>
    <col min="4" max="4" width="24.1796875" customWidth="1"/>
    <col min="5" max="5" width="60.1796875" customWidth="1"/>
    <col min="6" max="6" width="17.81640625" customWidth="1"/>
    <col min="7" max="7" width="29.7265625" customWidth="1"/>
    <col min="8" max="8" width="32" customWidth="1"/>
  </cols>
  <sheetData>
    <row r="1" spans="1:8">
      <c r="A1" s="1" t="s">
        <v>107</v>
      </c>
      <c r="B1" s="1" t="s">
        <v>954</v>
      </c>
      <c r="C1" s="1" t="s">
        <v>955</v>
      </c>
      <c r="D1" s="2" t="s">
        <v>956</v>
      </c>
      <c r="E1" s="1" t="s">
        <v>957</v>
      </c>
      <c r="F1" s="1" t="s">
        <v>958</v>
      </c>
      <c r="G1" s="1" t="s">
        <v>179</v>
      </c>
      <c r="H1" s="1" t="s">
        <v>180</v>
      </c>
    </row>
    <row r="2" spans="1:8" ht="29">
      <c r="A2" s="3">
        <v>1</v>
      </c>
      <c r="B2" s="3" t="s">
        <v>478</v>
      </c>
      <c r="C2" s="3" t="s">
        <v>959</v>
      </c>
      <c r="D2" s="4" t="s">
        <v>960</v>
      </c>
      <c r="E2" s="5" t="s">
        <v>961</v>
      </c>
      <c r="F2" s="3" t="s">
        <v>962</v>
      </c>
      <c r="G2" s="3" t="s">
        <v>963</v>
      </c>
      <c r="H2" s="6"/>
    </row>
    <row r="3" spans="1:8">
      <c r="A3" s="3">
        <v>2</v>
      </c>
      <c r="B3" s="3" t="s">
        <v>964</v>
      </c>
      <c r="C3" s="3" t="s">
        <v>965</v>
      </c>
      <c r="D3" s="3" t="s">
        <v>966</v>
      </c>
      <c r="E3" s="5" t="s">
        <v>967</v>
      </c>
      <c r="F3" s="3" t="s">
        <v>968</v>
      </c>
      <c r="G3" s="3" t="s">
        <v>969</v>
      </c>
      <c r="H3" s="6"/>
    </row>
    <row r="4" spans="1:8">
      <c r="A4" s="3">
        <v>3</v>
      </c>
      <c r="B4" s="3" t="s">
        <v>970</v>
      </c>
      <c r="C4" s="3" t="s">
        <v>971</v>
      </c>
      <c r="D4" s="3">
        <v>9984727872</v>
      </c>
      <c r="E4" s="5" t="s">
        <v>972</v>
      </c>
      <c r="F4" s="3"/>
      <c r="G4" s="3" t="s">
        <v>973</v>
      </c>
      <c r="H4" s="6"/>
    </row>
    <row r="5" spans="1:8">
      <c r="A5" s="3">
        <v>4</v>
      </c>
      <c r="B5" s="3" t="s">
        <v>974</v>
      </c>
      <c r="C5" s="3" t="s">
        <v>975</v>
      </c>
      <c r="D5" s="3" t="s">
        <v>976</v>
      </c>
      <c r="E5" s="5" t="s">
        <v>977</v>
      </c>
      <c r="F5" s="3" t="s">
        <v>978</v>
      </c>
      <c r="G5" s="3" t="s">
        <v>979</v>
      </c>
      <c r="H5" s="6"/>
    </row>
    <row r="6" spans="1:8" ht="43.5">
      <c r="A6" s="3">
        <v>5</v>
      </c>
      <c r="B6" s="3" t="s">
        <v>271</v>
      </c>
      <c r="C6" s="3" t="s">
        <v>975</v>
      </c>
      <c r="D6" s="3" t="s">
        <v>976</v>
      </c>
      <c r="E6" s="5" t="s">
        <v>977</v>
      </c>
      <c r="F6" s="3" t="s">
        <v>980</v>
      </c>
      <c r="G6" s="3" t="s">
        <v>981</v>
      </c>
      <c r="H6" s="7" t="s">
        <v>982</v>
      </c>
    </row>
    <row r="7" spans="1:8">
      <c r="A7" s="3">
        <v>6</v>
      </c>
      <c r="B7" s="3" t="s">
        <v>477</v>
      </c>
      <c r="C7" s="3" t="s">
        <v>959</v>
      </c>
      <c r="D7" s="3" t="s">
        <v>983</v>
      </c>
      <c r="E7" s="5" t="s">
        <v>961</v>
      </c>
      <c r="F7" s="3" t="s">
        <v>984</v>
      </c>
      <c r="G7" s="3" t="s">
        <v>985</v>
      </c>
      <c r="H7" s="6"/>
    </row>
    <row r="8" spans="1:8">
      <c r="A8" s="3">
        <v>7</v>
      </c>
      <c r="B8" s="3" t="s">
        <v>986</v>
      </c>
      <c r="C8" s="3" t="s">
        <v>975</v>
      </c>
      <c r="D8" s="3" t="s">
        <v>976</v>
      </c>
      <c r="E8" s="5" t="s">
        <v>977</v>
      </c>
      <c r="F8" s="3"/>
      <c r="G8" s="3"/>
      <c r="H8" s="6"/>
    </row>
    <row r="9" spans="1:8">
      <c r="A9" s="8"/>
      <c r="B9" s="8"/>
      <c r="C9" s="8"/>
      <c r="D9" s="8"/>
      <c r="E9" s="9"/>
      <c r="F9" s="8"/>
      <c r="G9" s="8"/>
    </row>
    <row r="10" spans="1:8" ht="16">
      <c r="E10" s="10" t="s">
        <v>987</v>
      </c>
      <c r="F10" s="11" t="s">
        <v>988</v>
      </c>
    </row>
    <row r="11" spans="1:8" ht="16">
      <c r="E11" s="12" t="s">
        <v>989</v>
      </c>
      <c r="F11" s="13" t="s">
        <v>990</v>
      </c>
    </row>
    <row r="12" spans="1:8" ht="16">
      <c r="E12" s="12" t="s">
        <v>991</v>
      </c>
      <c r="F12" s="13" t="s">
        <v>990</v>
      </c>
    </row>
    <row r="13" spans="1:8" ht="16">
      <c r="E13" s="12" t="s">
        <v>992</v>
      </c>
      <c r="F13" s="13" t="s">
        <v>990</v>
      </c>
    </row>
    <row r="14" spans="1:8" ht="16">
      <c r="E14" s="12" t="s">
        <v>993</v>
      </c>
      <c r="F14" s="13" t="s">
        <v>990</v>
      </c>
    </row>
    <row r="15" spans="1:8" ht="16">
      <c r="E15" s="12" t="s">
        <v>994</v>
      </c>
      <c r="F15" s="13" t="s">
        <v>990</v>
      </c>
    </row>
    <row r="16" spans="1:8" ht="16">
      <c r="E16" s="12" t="s">
        <v>995</v>
      </c>
      <c r="F16" s="13" t="s">
        <v>990</v>
      </c>
    </row>
    <row r="17" spans="5:6" ht="16">
      <c r="E17" s="12" t="s">
        <v>996</v>
      </c>
      <c r="F17" s="13" t="s">
        <v>990</v>
      </c>
    </row>
    <row r="18" spans="5:6" ht="16">
      <c r="E18" s="12" t="s">
        <v>997</v>
      </c>
      <c r="F18" s="13" t="s">
        <v>990</v>
      </c>
    </row>
    <row r="19" spans="5:6" ht="16">
      <c r="E19" s="12" t="s">
        <v>998</v>
      </c>
      <c r="F19" s="13" t="s">
        <v>990</v>
      </c>
    </row>
  </sheetData>
  <hyperlinks>
    <hyperlink ref="E2" r:id="rId1" xr:uid="{00000000-0004-0000-0700-000000000000}"/>
    <hyperlink ref="E3" r:id="rId2" xr:uid="{00000000-0004-0000-0700-000001000000}"/>
    <hyperlink ref="E4" r:id="rId3" xr:uid="{00000000-0004-0000-0700-000002000000}"/>
    <hyperlink ref="E5" r:id="rId4" xr:uid="{00000000-0004-0000-0700-000003000000}"/>
    <hyperlink ref="E6" r:id="rId5" xr:uid="{00000000-0004-0000-0700-000004000000}"/>
    <hyperlink ref="E7" r:id="rId6" xr:uid="{00000000-0004-0000-0700-000005000000}"/>
    <hyperlink ref="E8" r:id="rId7" xr:uid="{00000000-0004-0000-0700-00000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bff8e0c-50e3-4349-835d-45a48cb8426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59690EB9FE2E449F7F3DF09C3584B6" ma:contentTypeVersion="10" ma:contentTypeDescription="Create a new document." ma:contentTypeScope="" ma:versionID="1e5d8b2cdb8c8e1300956f198dd011ea">
  <xsd:schema xmlns:xsd="http://www.w3.org/2001/XMLSchema" xmlns:xs="http://www.w3.org/2001/XMLSchema" xmlns:p="http://schemas.microsoft.com/office/2006/metadata/properties" xmlns:ns3="fbff8e0c-50e3-4349-835d-45a48cb84262" xmlns:ns4="508916a4-8b04-4e93-bbea-0c6b5dd14b39" targetNamespace="http://schemas.microsoft.com/office/2006/metadata/properties" ma:root="true" ma:fieldsID="91025112b2c854d5c752946fc19a0cfd" ns3:_="" ns4:_="">
    <xsd:import namespace="fbff8e0c-50e3-4349-835d-45a48cb84262"/>
    <xsd:import namespace="508916a4-8b04-4e93-bbea-0c6b5dd14b39"/>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ObjectDetectorVersions" minOccurs="0"/>
                <xsd:element ref="ns3:MediaServiceSearchProperties" minOccurs="0"/>
                <xsd:element ref="ns3:MediaServiceSystemTags" minOccurs="0"/>
                <xsd:element ref="ns3:MediaServiceMetadata" minOccurs="0"/>
                <xsd:element ref="ns3:MediaServiceFastMetadata"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ff8e0c-50e3-4349-835d-45a48cb8426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8916a4-8b04-4e93-bbea-0c6b5dd14b39"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993E3-A76F-4D25-A6CC-669295265435}">
  <ds:schemaRefs>
    <ds:schemaRef ds:uri="http://purl.org/dc/elements/1.1/"/>
    <ds:schemaRef ds:uri="http://www.w3.org/XML/1998/namespace"/>
    <ds:schemaRef ds:uri="http://schemas.microsoft.com/office/infopath/2007/PartnerControls"/>
    <ds:schemaRef ds:uri="508916a4-8b04-4e93-bbea-0c6b5dd14b39"/>
    <ds:schemaRef ds:uri="http://schemas.microsoft.com/office/2006/documentManagement/types"/>
    <ds:schemaRef ds:uri="http://schemas.openxmlformats.org/package/2006/metadata/core-properties"/>
    <ds:schemaRef ds:uri="fbff8e0c-50e3-4349-835d-45a48cb84262"/>
    <ds:schemaRef ds:uri="http://purl.org/dc/terms/"/>
    <ds:schemaRef ds:uri="http://purl.org/dc/dcmitype/"/>
    <ds:schemaRef ds:uri="http://schemas.microsoft.com/office/2006/metadata/properties"/>
  </ds:schemaRefs>
</ds:datastoreItem>
</file>

<file path=customXml/itemProps2.xml><?xml version="1.0" encoding="utf-8"?>
<ds:datastoreItem xmlns:ds="http://schemas.openxmlformats.org/officeDocument/2006/customXml" ds:itemID="{262B55D0-736D-433A-A609-B0199C8CB1DF}">
  <ds:schemaRefs/>
</ds:datastoreItem>
</file>

<file path=customXml/itemProps3.xml><?xml version="1.0" encoding="utf-8"?>
<ds:datastoreItem xmlns:ds="http://schemas.openxmlformats.org/officeDocument/2006/customXml" ds:itemID="{AAD2D8A9-C050-4037-A99D-BD183EA205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Violation Log</vt:lpstr>
      <vt:lpstr>Shift Details</vt:lpstr>
      <vt:lpstr>ERV Log </vt:lpstr>
      <vt:lpstr>Log Data </vt:lpstr>
      <vt:lpstr>Vehicles List new</vt:lpstr>
      <vt:lpstr>Vehicle List</vt:lpstr>
      <vt:lpstr>Nearmiss</vt:lpstr>
      <vt:lpstr>EMERGENCY NO </vt:lpstr>
      <vt:lpstr>TG Contact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Logistics Control</dc:creator>
  <cp:lastModifiedBy>SHYAM</cp:lastModifiedBy>
  <dcterms:created xsi:type="dcterms:W3CDTF">2025-08-08T19:26:00Z</dcterms:created>
  <dcterms:modified xsi:type="dcterms:W3CDTF">2026-03-18T12:26:25Z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0x0101008D59690EB9FE2E449F7F3DF09C3584B6</vt:lpwstr>
  </property>
  <property fmtid="{D5CDD505-2E9C-101B-9397-08002B2CF9AE}" pid="3" name="ICV">
    <vt:lpwstr>4AF1D34E1F5A44EF9148B878DE12756F_12</vt:lpwstr>
  </property>
  <property fmtid="{D5CDD505-2E9C-101B-9397-08002B2CF9AE}" pid="4" name="KSOProductBuildVer">
    <vt:lpwstr>1033-12.2.0.23155</vt:lpwstr>
  </property>
</Properties>
</file>