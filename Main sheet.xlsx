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3. CODE\Excel Practice\Big folder\Data automation\Master data\"/>
    </mc:Choice>
  </mc:AlternateContent>
  <xr:revisionPtr revIDLastSave="0" documentId="13_ncr:1_{53C69128-B443-4CF1-8EE4-5AA9E60B0A5B}" xr6:coauthVersionLast="47" xr6:coauthVersionMax="47" xr10:uidLastSave="{00000000-0000-0000-0000-000000000000}"/>
  <bookViews>
    <workbookView xWindow="-110" yWindow="-110" windowWidth="19420" windowHeight="10300" firstSheet="1" activeTab="4" xr2:uid="{00000000-000D-0000-FFFF-FFFF00000000}"/>
  </bookViews>
  <sheets>
    <sheet name="Mail Summ" sheetId="11" r:id="rId1"/>
    <sheet name="Mail Summ2" sheetId="12" r:id="rId2"/>
    <sheet name="Mar Day Summ" sheetId="7" r:id="rId3"/>
    <sheet name="Mar Mon Summ" sheetId="9" r:id="rId4"/>
    <sheet name="Soruce file " sheetId="6" r:id="rId5"/>
    <sheet name="Vehicles List new" sheetId="3" r:id="rId6"/>
  </sheets>
  <definedNames>
    <definedName name="_xlnm._FilterDatabase" localSheetId="0" hidden="1">'Mail Summ'!$A$1:$I$24</definedName>
    <definedName name="ExternalData_2" localSheetId="5" hidden="1">'Vehicles List new'!$A$1:$D$456</definedName>
    <definedName name="ExternalData_4" localSheetId="4" hidden="1">'Soruce file '!$A$1:$N$160</definedName>
    <definedName name="Slicer_Violations_Vehicle_Day">#N/A</definedName>
    <definedName name="Slicer_Violations_Vehicle_Day1">#N/A</definedName>
  </definedNames>
  <calcPr calcId="191029"/>
  <pivotCaches>
    <pivotCache cacheId="4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6" l="1"/>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B53" i="9"/>
  <c r="B30" i="9"/>
  <c r="O161" i="6" l="1"/>
  <c r="D24" i="11"/>
  <c r="E24" i="11"/>
  <c r="F24" i="11"/>
  <c r="C24" i="11"/>
  <c r="B1" i="7"/>
  <c r="K4" i="7" l="1"/>
  <c r="K12" i="7"/>
  <c r="K20" i="7"/>
  <c r="J6" i="7"/>
  <c r="J14" i="7"/>
  <c r="J22" i="7"/>
  <c r="I7" i="7"/>
  <c r="I15" i="7"/>
  <c r="I23" i="7"/>
  <c r="H10" i="7"/>
  <c r="H18" i="7"/>
  <c r="G3" i="7"/>
  <c r="G11" i="7"/>
  <c r="G19" i="7"/>
  <c r="F6" i="7"/>
  <c r="F14" i="7"/>
  <c r="F22" i="7"/>
  <c r="E8" i="7"/>
  <c r="E16" i="7"/>
  <c r="E24" i="7"/>
  <c r="D10" i="7"/>
  <c r="D18" i="7"/>
  <c r="C4" i="7"/>
  <c r="C12" i="7"/>
  <c r="C20" i="7"/>
  <c r="B6" i="7"/>
  <c r="B14" i="7"/>
  <c r="B22" i="7"/>
  <c r="K5" i="7"/>
  <c r="K13" i="7"/>
  <c r="K21" i="7"/>
  <c r="J7" i="7"/>
  <c r="J15" i="7"/>
  <c r="J23" i="7"/>
  <c r="I8" i="7"/>
  <c r="I16" i="7"/>
  <c r="I24" i="7"/>
  <c r="H11" i="7"/>
  <c r="H19" i="7"/>
  <c r="G4" i="7"/>
  <c r="G12" i="7"/>
  <c r="G20" i="7"/>
  <c r="F7" i="7"/>
  <c r="F15" i="7"/>
  <c r="F23" i="7"/>
  <c r="E9" i="7"/>
  <c r="E17" i="7"/>
  <c r="E3" i="7"/>
  <c r="D11" i="7"/>
  <c r="D19" i="7"/>
  <c r="C5" i="7"/>
  <c r="C13" i="7"/>
  <c r="C21" i="7"/>
  <c r="B7" i="7"/>
  <c r="B15" i="7"/>
  <c r="B23" i="7"/>
  <c r="K6" i="7"/>
  <c r="K14" i="7"/>
  <c r="K22" i="7"/>
  <c r="J8" i="7"/>
  <c r="J16" i="7"/>
  <c r="J24" i="7"/>
  <c r="I9" i="7"/>
  <c r="I17" i="7"/>
  <c r="H4" i="7"/>
  <c r="H12" i="7"/>
  <c r="H20" i="7"/>
  <c r="G5" i="7"/>
  <c r="G13" i="7"/>
  <c r="G21" i="7"/>
  <c r="F8" i="7"/>
  <c r="F16" i="7"/>
  <c r="F24" i="7"/>
  <c r="E10" i="7"/>
  <c r="E18" i="7"/>
  <c r="D4" i="7"/>
  <c r="D12" i="7"/>
  <c r="D20" i="7"/>
  <c r="C6" i="7"/>
  <c r="C14" i="7"/>
  <c r="C22" i="7"/>
  <c r="B8" i="7"/>
  <c r="B16" i="7"/>
  <c r="B24" i="7"/>
  <c r="K7" i="7"/>
  <c r="K15" i="7"/>
  <c r="K23" i="7"/>
  <c r="J9" i="7"/>
  <c r="J17" i="7"/>
  <c r="J3" i="7"/>
  <c r="I10" i="7"/>
  <c r="I18" i="7"/>
  <c r="H5" i="7"/>
  <c r="H13" i="7"/>
  <c r="H21" i="7"/>
  <c r="G6" i="7"/>
  <c r="G14" i="7"/>
  <c r="G22" i="7"/>
  <c r="F9" i="7"/>
  <c r="F17" i="7"/>
  <c r="F3" i="7"/>
  <c r="E11" i="7"/>
  <c r="E19" i="7"/>
  <c r="D5" i="7"/>
  <c r="D13" i="7"/>
  <c r="D21" i="7"/>
  <c r="C7" i="7"/>
  <c r="C15" i="7"/>
  <c r="C23" i="7"/>
  <c r="B9" i="7"/>
  <c r="B17" i="7"/>
  <c r="B3" i="7"/>
  <c r="K8" i="7"/>
  <c r="K16" i="7"/>
  <c r="K24" i="7"/>
  <c r="J10" i="7"/>
  <c r="J18" i="7"/>
  <c r="I3" i="7"/>
  <c r="I11" i="7"/>
  <c r="I19" i="7"/>
  <c r="K9" i="7"/>
  <c r="K17" i="7"/>
  <c r="K3" i="7"/>
  <c r="J11" i="7"/>
  <c r="J19" i="7"/>
  <c r="I4" i="7"/>
  <c r="I12" i="7"/>
  <c r="I20" i="7"/>
  <c r="K10" i="7"/>
  <c r="J20" i="7"/>
  <c r="H6" i="7"/>
  <c r="H22" i="7"/>
  <c r="G15" i="7"/>
  <c r="F10" i="7"/>
  <c r="E4" i="7"/>
  <c r="E20" i="7"/>
  <c r="D14" i="7"/>
  <c r="C8" i="7"/>
  <c r="C24" i="7"/>
  <c r="B18" i="7"/>
  <c r="K11" i="7"/>
  <c r="J21" i="7"/>
  <c r="H7" i="7"/>
  <c r="H23" i="7"/>
  <c r="G16" i="7"/>
  <c r="F11" i="7"/>
  <c r="E5" i="7"/>
  <c r="E21" i="7"/>
  <c r="D15" i="7"/>
  <c r="C9" i="7"/>
  <c r="C3" i="7"/>
  <c r="B19" i="7"/>
  <c r="I22" i="7"/>
  <c r="D9" i="7"/>
  <c r="B13" i="7"/>
  <c r="K18" i="7"/>
  <c r="I5" i="7"/>
  <c r="H8" i="7"/>
  <c r="H24" i="7"/>
  <c r="G17" i="7"/>
  <c r="F12" i="7"/>
  <c r="E6" i="7"/>
  <c r="E22" i="7"/>
  <c r="D16" i="7"/>
  <c r="C10" i="7"/>
  <c r="B4" i="7"/>
  <c r="B20" i="7"/>
  <c r="C18" i="7"/>
  <c r="H17" i="7"/>
  <c r="E15" i="7"/>
  <c r="K19" i="7"/>
  <c r="I6" i="7"/>
  <c r="H9" i="7"/>
  <c r="H3" i="7"/>
  <c r="G18" i="7"/>
  <c r="F13" i="7"/>
  <c r="E7" i="7"/>
  <c r="E23" i="7"/>
  <c r="D17" i="7"/>
  <c r="C11" i="7"/>
  <c r="B5" i="7"/>
  <c r="B21" i="7"/>
  <c r="D24" i="7"/>
  <c r="J13" i="7"/>
  <c r="F21" i="7"/>
  <c r="J4" i="7"/>
  <c r="I13" i="7"/>
  <c r="H14" i="7"/>
  <c r="G7" i="7"/>
  <c r="G23" i="7"/>
  <c r="F18" i="7"/>
  <c r="E12" i="7"/>
  <c r="D6" i="7"/>
  <c r="D22" i="7"/>
  <c r="C16" i="7"/>
  <c r="B10" i="7"/>
  <c r="F5" i="7"/>
  <c r="D3" i="7"/>
  <c r="J5" i="7"/>
  <c r="I14" i="7"/>
  <c r="H15" i="7"/>
  <c r="G8" i="7"/>
  <c r="G24" i="7"/>
  <c r="F19" i="7"/>
  <c r="E13" i="7"/>
  <c r="D7" i="7"/>
  <c r="D23" i="7"/>
  <c r="C17" i="7"/>
  <c r="B11" i="7"/>
  <c r="B12" i="7"/>
  <c r="G10" i="7"/>
  <c r="C19" i="7"/>
  <c r="J12" i="7"/>
  <c r="I21" i="7"/>
  <c r="H16" i="7"/>
  <c r="G9" i="7"/>
  <c r="F4" i="7"/>
  <c r="F20" i="7"/>
  <c r="E14" i="7"/>
  <c r="D8" i="7"/>
  <c r="G1" i="11"/>
  <c r="B1" i="9"/>
  <c r="F3" i="9" l="1"/>
  <c r="I10" i="9"/>
  <c r="I18" i="9"/>
  <c r="G5" i="9"/>
  <c r="G13" i="9"/>
  <c r="G21" i="9"/>
  <c r="B3" i="9"/>
  <c r="I11" i="9"/>
  <c r="I19" i="9"/>
  <c r="G6" i="9"/>
  <c r="G14" i="9"/>
  <c r="G22" i="9"/>
  <c r="E9" i="9"/>
  <c r="E17" i="9"/>
  <c r="D4" i="9"/>
  <c r="D12" i="9"/>
  <c r="D20" i="9"/>
  <c r="C7" i="9"/>
  <c r="C15" i="9"/>
  <c r="C23" i="9"/>
  <c r="B10" i="9"/>
  <c r="B18" i="9"/>
  <c r="E3" i="9"/>
  <c r="D14" i="9"/>
  <c r="C9" i="9"/>
  <c r="B12" i="9"/>
  <c r="G3" i="9"/>
  <c r="I4" i="9"/>
  <c r="I12" i="9"/>
  <c r="I20" i="9"/>
  <c r="G7" i="9"/>
  <c r="G15" i="9"/>
  <c r="G23" i="9"/>
  <c r="E10" i="9"/>
  <c r="E18" i="9"/>
  <c r="D5" i="9"/>
  <c r="D13" i="9"/>
  <c r="D21" i="9"/>
  <c r="C8" i="9"/>
  <c r="C16" i="9"/>
  <c r="C24" i="9"/>
  <c r="B11" i="9"/>
  <c r="B19" i="9"/>
  <c r="D6" i="9"/>
  <c r="C17" i="9"/>
  <c r="B4" i="9"/>
  <c r="B20" i="9"/>
  <c r="B17" i="9"/>
  <c r="I5" i="9"/>
  <c r="I13" i="9"/>
  <c r="I21" i="9"/>
  <c r="G8" i="9"/>
  <c r="G16" i="9"/>
  <c r="G24" i="9"/>
  <c r="E11" i="9"/>
  <c r="E19" i="9"/>
  <c r="D22" i="9"/>
  <c r="I6" i="9"/>
  <c r="I14" i="9"/>
  <c r="I22" i="9"/>
  <c r="G9" i="9"/>
  <c r="G17" i="9"/>
  <c r="E4" i="9"/>
  <c r="E12" i="9"/>
  <c r="E20" i="9"/>
  <c r="D7" i="9"/>
  <c r="D15" i="9"/>
  <c r="D23" i="9"/>
  <c r="C10" i="9"/>
  <c r="C18" i="9"/>
  <c r="B5" i="9"/>
  <c r="B13" i="9"/>
  <c r="B21" i="9"/>
  <c r="G4" i="9"/>
  <c r="G20" i="9"/>
  <c r="E15" i="9"/>
  <c r="C5" i="9"/>
  <c r="B8" i="9"/>
  <c r="E8" i="9"/>
  <c r="D11" i="9"/>
  <c r="C22" i="9"/>
  <c r="I7" i="9"/>
  <c r="I15" i="9"/>
  <c r="I23" i="9"/>
  <c r="G10" i="9"/>
  <c r="G18" i="9"/>
  <c r="E5" i="9"/>
  <c r="E13" i="9"/>
  <c r="E21" i="9"/>
  <c r="D8" i="9"/>
  <c r="D16" i="9"/>
  <c r="D24" i="9"/>
  <c r="C11" i="9"/>
  <c r="C19" i="9"/>
  <c r="B6" i="9"/>
  <c r="B14" i="9"/>
  <c r="B22" i="9"/>
  <c r="I9" i="9"/>
  <c r="E7" i="9"/>
  <c r="E23" i="9"/>
  <c r="D18" i="9"/>
  <c r="C21" i="9"/>
  <c r="B24" i="9"/>
  <c r="E16" i="9"/>
  <c r="C6" i="9"/>
  <c r="B9" i="9"/>
  <c r="I8" i="9"/>
  <c r="I16" i="9"/>
  <c r="I24" i="9"/>
  <c r="G11" i="9"/>
  <c r="G19" i="9"/>
  <c r="E6" i="9"/>
  <c r="E14" i="9"/>
  <c r="E22" i="9"/>
  <c r="D9" i="9"/>
  <c r="D17" i="9"/>
  <c r="C4" i="9"/>
  <c r="C12" i="9"/>
  <c r="C20" i="9"/>
  <c r="B7" i="9"/>
  <c r="B15" i="9"/>
  <c r="B23" i="9"/>
  <c r="I17" i="9"/>
  <c r="G12" i="9"/>
  <c r="D10" i="9"/>
  <c r="C13" i="9"/>
  <c r="B16" i="9"/>
  <c r="E24" i="9"/>
  <c r="D19" i="9"/>
  <c r="C14" i="9"/>
  <c r="G58" i="9"/>
  <c r="I57" i="9"/>
  <c r="K56" i="9"/>
  <c r="C56" i="9"/>
  <c r="E55" i="9"/>
  <c r="K37" i="9"/>
  <c r="K45" i="9"/>
  <c r="J36" i="9"/>
  <c r="J44" i="9"/>
  <c r="I35" i="9"/>
  <c r="I43" i="9"/>
  <c r="H34" i="9"/>
  <c r="H42" i="9"/>
  <c r="G33" i="9"/>
  <c r="G41" i="9"/>
  <c r="G49" i="9"/>
  <c r="F40" i="9"/>
  <c r="F48" i="9"/>
  <c r="E39" i="9"/>
  <c r="E47" i="9"/>
  <c r="D38" i="9"/>
  <c r="D46" i="9"/>
  <c r="C37" i="9"/>
  <c r="C45" i="9"/>
  <c r="B36" i="9"/>
  <c r="B44" i="9"/>
  <c r="I32" i="9"/>
  <c r="K4" i="9"/>
  <c r="K12" i="9"/>
  <c r="K20" i="9"/>
  <c r="J6" i="9"/>
  <c r="J14" i="9"/>
  <c r="J22" i="9"/>
  <c r="F58" i="9"/>
  <c r="H57" i="9"/>
  <c r="J56" i="9"/>
  <c r="B56" i="9"/>
  <c r="D55" i="9"/>
  <c r="K38" i="9"/>
  <c r="K46" i="9"/>
  <c r="J37" i="9"/>
  <c r="J45" i="9"/>
  <c r="I36" i="9"/>
  <c r="I44" i="9"/>
  <c r="H35" i="9"/>
  <c r="H43" i="9"/>
  <c r="G34" i="9"/>
  <c r="G42" i="9"/>
  <c r="F33" i="9"/>
  <c r="F41" i="9"/>
  <c r="F49" i="9"/>
  <c r="E40" i="9"/>
  <c r="E48" i="9"/>
  <c r="D39" i="9"/>
  <c r="D47" i="9"/>
  <c r="C38" i="9"/>
  <c r="C46" i="9"/>
  <c r="B37" i="9"/>
  <c r="B45" i="9"/>
  <c r="H32" i="9"/>
  <c r="K5" i="9"/>
  <c r="K13" i="9"/>
  <c r="K21" i="9"/>
  <c r="J7" i="9"/>
  <c r="J15" i="9"/>
  <c r="J23" i="9"/>
  <c r="I3" i="9"/>
  <c r="H11" i="9"/>
  <c r="H19" i="9"/>
  <c r="F4" i="9"/>
  <c r="F12" i="9"/>
  <c r="F20" i="9"/>
  <c r="E58" i="9"/>
  <c r="G57" i="9"/>
  <c r="I56" i="9"/>
  <c r="K55" i="9"/>
  <c r="C55" i="9"/>
  <c r="K39" i="9"/>
  <c r="K47" i="9"/>
  <c r="J38" i="9"/>
  <c r="J46" i="9"/>
  <c r="I37" i="9"/>
  <c r="I45" i="9"/>
  <c r="H36" i="9"/>
  <c r="H44" i="9"/>
  <c r="G35" i="9"/>
  <c r="G43" i="9"/>
  <c r="F34" i="9"/>
  <c r="F42" i="9"/>
  <c r="E33" i="9"/>
  <c r="E41" i="9"/>
  <c r="E49" i="9"/>
  <c r="D40" i="9"/>
  <c r="D48" i="9"/>
  <c r="C39" i="9"/>
  <c r="C47" i="9"/>
  <c r="B38" i="9"/>
  <c r="B46" i="9"/>
  <c r="G32" i="9"/>
  <c r="K6" i="9"/>
  <c r="K14" i="9"/>
  <c r="K22" i="9"/>
  <c r="J8" i="9"/>
  <c r="J16" i="9"/>
  <c r="J24" i="9"/>
  <c r="H4" i="9"/>
  <c r="H12" i="9"/>
  <c r="H20" i="9"/>
  <c r="F5" i="9"/>
  <c r="F13" i="9"/>
  <c r="F21" i="9"/>
  <c r="J9" i="9"/>
  <c r="J3" i="9"/>
  <c r="D58" i="9"/>
  <c r="F57" i="9"/>
  <c r="H56" i="9"/>
  <c r="J55" i="9"/>
  <c r="B55" i="9"/>
  <c r="K40" i="9"/>
  <c r="K48" i="9"/>
  <c r="J39" i="9"/>
  <c r="J47" i="9"/>
  <c r="I38" i="9"/>
  <c r="I46" i="9"/>
  <c r="H37" i="9"/>
  <c r="H45" i="9"/>
  <c r="G36" i="9"/>
  <c r="G44" i="9"/>
  <c r="F35" i="9"/>
  <c r="F43" i="9"/>
  <c r="E34" i="9"/>
  <c r="E42" i="9"/>
  <c r="D33" i="9"/>
  <c r="D41" i="9"/>
  <c r="D49" i="9"/>
  <c r="C40" i="9"/>
  <c r="C48" i="9"/>
  <c r="B39" i="9"/>
  <c r="B47" i="9"/>
  <c r="F32" i="9"/>
  <c r="K7" i="9"/>
  <c r="K15" i="9"/>
  <c r="K23" i="9"/>
  <c r="J17" i="9"/>
  <c r="H5" i="9"/>
  <c r="H13" i="9"/>
  <c r="C58" i="9"/>
  <c r="G56" i="9"/>
  <c r="K33" i="9"/>
  <c r="K49" i="9"/>
  <c r="J48" i="9"/>
  <c r="I47" i="9"/>
  <c r="H46" i="9"/>
  <c r="G45" i="9"/>
  <c r="F44" i="9"/>
  <c r="E43" i="9"/>
  <c r="D42" i="9"/>
  <c r="C41" i="9"/>
  <c r="B40" i="9"/>
  <c r="E32" i="9"/>
  <c r="K16" i="9"/>
  <c r="J10" i="9"/>
  <c r="H7" i="9"/>
  <c r="H18" i="9"/>
  <c r="F7" i="9"/>
  <c r="F17" i="9"/>
  <c r="B58" i="9"/>
  <c r="F56" i="9"/>
  <c r="K34" i="9"/>
  <c r="J33" i="9"/>
  <c r="J49" i="9"/>
  <c r="I48" i="9"/>
  <c r="H47" i="9"/>
  <c r="G46" i="9"/>
  <c r="F45" i="9"/>
  <c r="E44" i="9"/>
  <c r="D43" i="9"/>
  <c r="C42" i="9"/>
  <c r="B41" i="9"/>
  <c r="D32" i="9"/>
  <c r="K17" i="9"/>
  <c r="J11" i="9"/>
  <c r="H8" i="9"/>
  <c r="H21" i="9"/>
  <c r="F8" i="9"/>
  <c r="F18" i="9"/>
  <c r="K43" i="9"/>
  <c r="E37" i="9"/>
  <c r="K32" i="9"/>
  <c r="F15" i="9"/>
  <c r="J43" i="9"/>
  <c r="G40" i="9"/>
  <c r="B35" i="9"/>
  <c r="F16" i="9"/>
  <c r="C3" i="9"/>
  <c r="K57" i="9"/>
  <c r="E56" i="9"/>
  <c r="K35" i="9"/>
  <c r="J34" i="9"/>
  <c r="I33" i="9"/>
  <c r="I49" i="9"/>
  <c r="H48" i="9"/>
  <c r="G47" i="9"/>
  <c r="F46" i="9"/>
  <c r="E45" i="9"/>
  <c r="D44" i="9"/>
  <c r="C43" i="9"/>
  <c r="B42" i="9"/>
  <c r="C32" i="9"/>
  <c r="K18" i="9"/>
  <c r="J12" i="9"/>
  <c r="H9" i="9"/>
  <c r="H22" i="9"/>
  <c r="F9" i="9"/>
  <c r="F19" i="9"/>
  <c r="J42" i="9"/>
  <c r="F38" i="9"/>
  <c r="K10" i="9"/>
  <c r="H16" i="9"/>
  <c r="B57" i="9"/>
  <c r="H41" i="9"/>
  <c r="C36" i="9"/>
  <c r="J5" i="9"/>
  <c r="F6" i="9"/>
  <c r="D3" i="9"/>
  <c r="J57" i="9"/>
  <c r="D56" i="9"/>
  <c r="K36" i="9"/>
  <c r="J35" i="9"/>
  <c r="I34" i="9"/>
  <c r="H33" i="9"/>
  <c r="H49" i="9"/>
  <c r="G48" i="9"/>
  <c r="F47" i="9"/>
  <c r="E46" i="9"/>
  <c r="D45" i="9"/>
  <c r="C44" i="9"/>
  <c r="B43" i="9"/>
  <c r="B32" i="9"/>
  <c r="K19" i="9"/>
  <c r="J13" i="9"/>
  <c r="H10" i="9"/>
  <c r="H23" i="9"/>
  <c r="F10" i="9"/>
  <c r="F22" i="9"/>
  <c r="C57" i="9"/>
  <c r="G39" i="9"/>
  <c r="B34" i="9"/>
  <c r="H58" i="9"/>
  <c r="I42" i="9"/>
  <c r="D37" i="9"/>
  <c r="J21" i="9"/>
  <c r="K58" i="9"/>
  <c r="E57" i="9"/>
  <c r="I55" i="9"/>
  <c r="K41" i="9"/>
  <c r="J40" i="9"/>
  <c r="I39" i="9"/>
  <c r="H38" i="9"/>
  <c r="G37" i="9"/>
  <c r="F36" i="9"/>
  <c r="E35" i="9"/>
  <c r="D34" i="9"/>
  <c r="C33" i="9"/>
  <c r="C49" i="9"/>
  <c r="B48" i="9"/>
  <c r="K8" i="9"/>
  <c r="K24" i="9"/>
  <c r="J18" i="9"/>
  <c r="H14" i="9"/>
  <c r="H24" i="9"/>
  <c r="F11" i="9"/>
  <c r="F23" i="9"/>
  <c r="I58" i="9"/>
  <c r="G55" i="9"/>
  <c r="H40" i="9"/>
  <c r="C35" i="9"/>
  <c r="J20" i="9"/>
  <c r="F55" i="9"/>
  <c r="F39" i="9"/>
  <c r="J32" i="9"/>
  <c r="H17" i="9"/>
  <c r="J58" i="9"/>
  <c r="D57" i="9"/>
  <c r="H55" i="9"/>
  <c r="K42" i="9"/>
  <c r="J41" i="9"/>
  <c r="I40" i="9"/>
  <c r="H39" i="9"/>
  <c r="G38" i="9"/>
  <c r="F37" i="9"/>
  <c r="E36" i="9"/>
  <c r="D35" i="9"/>
  <c r="C34" i="9"/>
  <c r="B33" i="9"/>
  <c r="B49" i="9"/>
  <c r="K9" i="9"/>
  <c r="K3" i="9"/>
  <c r="J19" i="9"/>
  <c r="H15" i="9"/>
  <c r="H3" i="9"/>
  <c r="F14" i="9"/>
  <c r="F24" i="9"/>
  <c r="I41" i="9"/>
  <c r="D36" i="9"/>
  <c r="J4" i="9"/>
  <c r="K44" i="9"/>
  <c r="E38" i="9"/>
  <c r="K11" i="9"/>
  <c r="H6" i="9"/>
  <c r="L22" i="7"/>
  <c r="G21" i="11" s="1"/>
  <c r="L12" i="7"/>
  <c r="G11" i="11" s="1"/>
  <c r="L8" i="7"/>
  <c r="G7" i="11" s="1"/>
  <c r="L13" i="7"/>
  <c r="G12" i="11" s="1"/>
  <c r="L15" i="7"/>
  <c r="G14" i="11" s="1"/>
  <c r="L20" i="7"/>
  <c r="G19" i="11" s="1"/>
  <c r="L16" i="7"/>
  <c r="G15" i="11" s="1"/>
  <c r="L5" i="7"/>
  <c r="G4" i="11" s="1"/>
  <c r="L24" i="7"/>
  <c r="G23" i="11" s="1"/>
  <c r="L21" i="7"/>
  <c r="G20" i="11" s="1"/>
  <c r="L10" i="7"/>
  <c r="G9" i="11" s="1"/>
  <c r="L23" i="7"/>
  <c r="G22" i="11" s="1"/>
  <c r="L7" i="7"/>
  <c r="G6" i="11" s="1"/>
  <c r="L18" i="7"/>
  <c r="G17" i="11" s="1"/>
  <c r="L11" i="7"/>
  <c r="G10" i="11" s="1"/>
  <c r="L6" i="7"/>
  <c r="G5" i="11" s="1"/>
  <c r="L19" i="7"/>
  <c r="G18" i="11" s="1"/>
  <c r="L14" i="7"/>
  <c r="G13" i="11" s="1"/>
  <c r="L17" i="7"/>
  <c r="G16" i="11" s="1"/>
  <c r="L4" i="7"/>
  <c r="G3" i="11" s="1"/>
  <c r="L9" i="7"/>
  <c r="G8" i="11" s="1"/>
  <c r="H1" i="11"/>
  <c r="L32" i="9" l="1"/>
  <c r="L55" i="9"/>
  <c r="L56" i="9"/>
  <c r="L58" i="9"/>
  <c r="L57" i="9"/>
  <c r="C59" i="9"/>
  <c r="K59" i="9"/>
  <c r="E59" i="9"/>
  <c r="I59" i="9"/>
  <c r="D59" i="9"/>
  <c r="G59" i="9"/>
  <c r="J59" i="9"/>
  <c r="H59" i="9"/>
  <c r="F59" i="9"/>
  <c r="B59" i="9"/>
  <c r="L43" i="9"/>
  <c r="L40" i="9"/>
  <c r="L41" i="9"/>
  <c r="L42" i="9"/>
  <c r="I50" i="9"/>
  <c r="L47" i="9"/>
  <c r="H50" i="9"/>
  <c r="L39" i="9"/>
  <c r="L36" i="9"/>
  <c r="L48" i="9"/>
  <c r="E50" i="9"/>
  <c r="L49" i="9"/>
  <c r="L45" i="9"/>
  <c r="L37" i="9"/>
  <c r="L38" i="9"/>
  <c r="L46" i="9"/>
  <c r="G50" i="9"/>
  <c r="J50" i="9"/>
  <c r="F50" i="9"/>
  <c r="L7" i="9"/>
  <c r="H6" i="11" s="1"/>
  <c r="I6" i="11" s="1"/>
  <c r="L35" i="9"/>
  <c r="D50" i="9"/>
  <c r="L44" i="9"/>
  <c r="K50" i="9"/>
  <c r="L33" i="9"/>
  <c r="C50" i="9"/>
  <c r="B50" i="9"/>
  <c r="L34" i="9"/>
  <c r="L16" i="9"/>
  <c r="H15" i="11" s="1"/>
  <c r="I15" i="11" s="1"/>
  <c r="L15" i="9"/>
  <c r="H14" i="11" s="1"/>
  <c r="I14" i="11" s="1"/>
  <c r="L24" i="9"/>
  <c r="H23" i="11" s="1"/>
  <c r="I23" i="11" s="1"/>
  <c r="L13" i="9"/>
  <c r="H12" i="11" s="1"/>
  <c r="I12" i="11" s="1"/>
  <c r="L19" i="9"/>
  <c r="H18" i="11" s="1"/>
  <c r="I18" i="11" s="1"/>
  <c r="L5" i="9"/>
  <c r="H4" i="11" s="1"/>
  <c r="I4" i="11" s="1"/>
  <c r="L9" i="9"/>
  <c r="H8" i="11" s="1"/>
  <c r="I8" i="11" s="1"/>
  <c r="L20" i="9"/>
  <c r="H19" i="11" s="1"/>
  <c r="I19" i="11" s="1"/>
  <c r="L11" i="9"/>
  <c r="H10" i="11" s="1"/>
  <c r="I10" i="11" s="1"/>
  <c r="L22" i="9"/>
  <c r="H21" i="11" s="1"/>
  <c r="I21" i="11" s="1"/>
  <c r="L12" i="9"/>
  <c r="H11" i="11" s="1"/>
  <c r="I11" i="11" s="1"/>
  <c r="L18" i="9"/>
  <c r="H17" i="11" s="1"/>
  <c r="I17" i="11" s="1"/>
  <c r="L8" i="9"/>
  <c r="H7" i="11" s="1"/>
  <c r="I7" i="11" s="1"/>
  <c r="L14" i="9"/>
  <c r="H13" i="11" s="1"/>
  <c r="I13" i="11" s="1"/>
  <c r="L4" i="9"/>
  <c r="H3" i="11" s="1"/>
  <c r="I3" i="11" s="1"/>
  <c r="L10" i="9"/>
  <c r="H9" i="11" s="1"/>
  <c r="I9" i="11" s="1"/>
  <c r="L21" i="9"/>
  <c r="H20" i="11" s="1"/>
  <c r="I20" i="11" s="1"/>
  <c r="L23" i="9"/>
  <c r="H22" i="11" s="1"/>
  <c r="I22" i="11" s="1"/>
  <c r="L6" i="9"/>
  <c r="H5" i="11" s="1"/>
  <c r="I5" i="11" s="1"/>
  <c r="L17" i="9"/>
  <c r="H16" i="11" s="1"/>
  <c r="I16" i="11" s="1"/>
  <c r="L3" i="9"/>
  <c r="H2" i="11" s="1"/>
  <c r="G25" i="9"/>
  <c r="E25" i="9"/>
  <c r="F25" i="9"/>
  <c r="K25" i="9"/>
  <c r="J25" i="9"/>
  <c r="I25" i="9"/>
  <c r="C25" i="9"/>
  <c r="D25" i="9"/>
  <c r="B25" i="9"/>
  <c r="H25" i="9"/>
  <c r="L25" i="9" l="1"/>
  <c r="L59" i="9"/>
  <c r="L50" i="9"/>
  <c r="I2" i="11"/>
  <c r="H24" i="11"/>
  <c r="I24" i="11" s="1"/>
  <c r="D4" i="12" l="1"/>
  <c r="D5" i="12" s="1" a="1"/>
  <c r="D5" i="12" s="1"/>
  <c r="H4" i="12"/>
  <c r="H5" i="12" s="1" a="1"/>
  <c r="H5" i="12" s="1"/>
  <c r="C25" i="7"/>
  <c r="F25" i="7" l="1"/>
  <c r="H25" i="7"/>
  <c r="J25" i="7"/>
  <c r="D25" i="7"/>
  <c r="E25" i="7"/>
  <c r="G25" i="7"/>
  <c r="I25" i="7"/>
  <c r="B25" i="7"/>
  <c r="L3" i="7"/>
  <c r="G2" i="11" s="1"/>
  <c r="K25" i="7"/>
  <c r="G24" i="11" l="1"/>
  <c r="D6" i="12"/>
  <c r="D7" i="12" s="1" a="1"/>
  <c r="D7" i="12" s="1"/>
  <c r="H6" i="12"/>
  <c r="H7" i="12" s="1" a="1"/>
  <c r="H7" i="12" s="1"/>
  <c r="L2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85CD83-CB28-471C-9D94-CE64F3964624}"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094F1F58-7B6D-45AB-8DEE-9752E9835A1F}"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3" xr16:uid="{366CDD65-B208-4B32-BA7E-0BCE4EC3C08D}"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4" xr16:uid="{92BF7193-BFF2-46E3-A496-0BFD255C06D1}" keepAlive="1" name="Query - Parameter4" description="Connection to the 'Parameter4' query in the workbook." type="5" refreshedVersion="0" background="1">
    <dbPr connection="Provider=Microsoft.Mashup.OleDb.1;Data Source=$Workbook$;Location=Parameter4;Extended Properties=&quot;&quot;" command="SELECT * FROM [Parameter4]"/>
  </connection>
  <connection id="5" xr16:uid="{C6306DF4-0728-4993-B764-24DC1185D8DC}"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A3FA0190-F7D9-4145-B7D0-09277ADF3F07}"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7" xr16:uid="{74202D5C-F38F-41C8-95B9-78FD006A1A58}"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8" xr16:uid="{BB896852-65DA-45FD-91B4-4A5532937C53}" keepAlive="1" name="Query - Sample File (4)" description="Connection to the 'Sample File (4)' query in the workbook." type="5" refreshedVersion="0" background="1">
    <dbPr connection="Provider=Microsoft.Mashup.OleDb.1;Data Source=$Workbook$;Location=&quot;Sample File (4)&quot;;Extended Properties=&quot;&quot;" command="SELECT * FROM [Sample File (4)]"/>
  </connection>
  <connection id="9" xr16:uid="{08F56FE7-40F8-4E68-8533-9F91F5515D5B}" keepAlive="1" name="Query - Soruce file" description="Connection to the 'Soruce file' query in the workbook." type="5" refreshedVersion="8" background="1" saveData="1">
    <dbPr connection="Provider=Microsoft.Mashup.OleDb.1;Data Source=$Workbook$;Location=&quot;Soruce file&quot;;Extended Properties=&quot;&quot;" command="SELECT * FROM [Soruce file]"/>
  </connection>
  <connection id="10" xr16:uid="{489BAD05-D5A5-4230-B73A-73206F3711C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6607BB1A-DB98-4087-A572-FF3EE79AB0B7}"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2" xr16:uid="{5CF6A959-2B38-4303-ACD1-34BE72875E17}"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13" xr16:uid="{54D451A4-30CF-4452-BC0D-2EF5870C240B}" keepAlive="1" name="Query - Transform File (4)" description="Connection to the 'Transform File (4)' query in the workbook." type="5" refreshedVersion="0" background="1">
    <dbPr connection="Provider=Microsoft.Mashup.OleDb.1;Data Source=$Workbook$;Location=&quot;Transform File (4)&quot;;Extended Properties=&quot;&quot;" command="SELECT * FROM [Transform File (4)]"/>
  </connection>
  <connection id="14" xr16:uid="{2DC5F230-8823-48E9-A8D6-37A0AC9EFA4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5" xr16:uid="{B939E956-A88F-4D5F-8FC6-807531F601F2}"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16" xr16:uid="{8B266F3F-DBA0-4226-8B22-3DE176070D87}"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17" xr16:uid="{3489FF74-C362-418F-A27A-BC4604EBFF5C}" keepAlive="1" name="Query - Transform Sample File (4)" description="Connection to the 'Transform Sample File (4)' query in the workbook." type="5" refreshedVersion="0" background="1">
    <dbPr connection="Provider=Microsoft.Mashup.OleDb.1;Data Source=$Workbook$;Location=&quot;Transform Sample File (4)&quot;;Extended Properties=&quot;&quot;" command="SELECT * FROM [Transform Sample File (4)]"/>
  </connection>
  <connection id="18" xr16:uid="{23D5216E-1756-4E0F-BC84-C75CACDA0A5B}" keepAlive="1" name="Query - Vehicles List new" description="Connection to the 'Vehicles List new' query in the workbook." type="5" refreshedVersion="8" background="1" saveData="1">
    <dbPr connection="Provider=Microsoft.Mashup.OleDb.1;Data Source=$Workbook$;Location=&quot;Vehicles List new&quot;;Extended Properties=&quot;&quot;" command="SELECT * FROM [Vehicles List new]"/>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<sst xmlns="http://schemas.openxmlformats.org/spreadsheetml/2006/main" count="3007" uniqueCount="812">
  <si>
    <t>S.no</t>
  </si>
  <si>
    <t>Date</t>
  </si>
  <si>
    <t>Transporter</t>
  </si>
  <si>
    <t>Driver Name</t>
  </si>
  <si>
    <t>Driver ID</t>
  </si>
  <si>
    <t>Kongunadu Roadlines</t>
  </si>
  <si>
    <t>KA01AM5032</t>
  </si>
  <si>
    <t>Kochi</t>
  </si>
  <si>
    <t>Fatigue</t>
  </si>
  <si>
    <t>NL01AH5841</t>
  </si>
  <si>
    <t>Dahej</t>
  </si>
  <si>
    <t>Yawning</t>
  </si>
  <si>
    <t>Overspeed</t>
  </si>
  <si>
    <t>Sritransways Logistics</t>
  </si>
  <si>
    <t>KL41V9675</t>
  </si>
  <si>
    <t>AKT</t>
  </si>
  <si>
    <t>Mobile Usage</t>
  </si>
  <si>
    <t>TN87B6394</t>
  </si>
  <si>
    <t>Ennore</t>
  </si>
  <si>
    <t>No Seatbelt</t>
  </si>
  <si>
    <t>TN88K4325</t>
  </si>
  <si>
    <t>KNCP</t>
  </si>
  <si>
    <t>AP39UG9640</t>
  </si>
  <si>
    <t>Chittoor</t>
  </si>
  <si>
    <t>Camera Anomaly</t>
  </si>
  <si>
    <t>Rahul Roadlines</t>
  </si>
  <si>
    <t>RJ19GH8324</t>
  </si>
  <si>
    <t>BJJ</t>
  </si>
  <si>
    <t>KA01AP0645</t>
  </si>
  <si>
    <t>KNV</t>
  </si>
  <si>
    <t>TN88J3816</t>
  </si>
  <si>
    <t>KA01AN2558</t>
  </si>
  <si>
    <t>UHS</t>
  </si>
  <si>
    <t>AP39VD4953</t>
  </si>
  <si>
    <t>ANK</t>
  </si>
  <si>
    <t>RJ19GH6332</t>
  </si>
  <si>
    <t>AP39UL4523</t>
  </si>
  <si>
    <t>Chaudhary Transport</t>
  </si>
  <si>
    <t>UP17AT8482</t>
  </si>
  <si>
    <t>AGP/CNG/KANCHI/222</t>
  </si>
  <si>
    <t>TN88J4384</t>
  </si>
  <si>
    <t>NL01AE4800</t>
  </si>
  <si>
    <t>Hazira</t>
  </si>
  <si>
    <t>KA01AM4880</t>
  </si>
  <si>
    <t>KA01AM6290</t>
  </si>
  <si>
    <t>KA01AM6284</t>
  </si>
  <si>
    <t>UP53HT0676</t>
  </si>
  <si>
    <t>Vellore</t>
  </si>
  <si>
    <t>HR55AG4392</t>
  </si>
  <si>
    <t>TN88H6508</t>
  </si>
  <si>
    <t>KL09AU9736</t>
  </si>
  <si>
    <t>KA01AM6976</t>
  </si>
  <si>
    <t>TN88L9300</t>
  </si>
  <si>
    <t xml:space="preserve">AJITH KUMAR S </t>
  </si>
  <si>
    <t>AGP/CNG/AKT/152</t>
  </si>
  <si>
    <t>KA01AM4879</t>
  </si>
  <si>
    <t>AP39VD4952</t>
  </si>
  <si>
    <t>KA01AM9804</t>
  </si>
  <si>
    <t>CHK</t>
  </si>
  <si>
    <t>GJ39TA2576</t>
  </si>
  <si>
    <t>Pradeep Kumar Singh</t>
  </si>
  <si>
    <t>AGP/LNG/588</t>
  </si>
  <si>
    <t>TN88J2175</t>
  </si>
  <si>
    <t>KL41U3480</t>
  </si>
  <si>
    <t>NL01AE4802</t>
  </si>
  <si>
    <t>Virendra Kumar Yadav</t>
  </si>
  <si>
    <t>AGP/LNG/255</t>
  </si>
  <si>
    <t>KL41V9887</t>
  </si>
  <si>
    <t>Dhinesh Transports</t>
  </si>
  <si>
    <t>TN13AB7803</t>
  </si>
  <si>
    <t>KA01AM6086</t>
  </si>
  <si>
    <t>RJ19GH8186</t>
  </si>
  <si>
    <t>TN88J8331</t>
  </si>
  <si>
    <t>NL01AF1651</t>
  </si>
  <si>
    <t>RJ19GH6145</t>
  </si>
  <si>
    <t>Velan Gogreen Logistics Pvt Ltd</t>
  </si>
  <si>
    <t>TN33BY1518</t>
  </si>
  <si>
    <t>KL41V5639</t>
  </si>
  <si>
    <t xml:space="preserve">ANEESH P J </t>
  </si>
  <si>
    <t>AGP/CNG/AKT/059</t>
  </si>
  <si>
    <t>Green Planet</t>
  </si>
  <si>
    <t>MH14KQ8146</t>
  </si>
  <si>
    <t>AGP/LNG/231</t>
  </si>
  <si>
    <t>RJ19GH8326</t>
  </si>
  <si>
    <t>GJ16AW0175</t>
  </si>
  <si>
    <t>TN33BY1343</t>
  </si>
  <si>
    <t>NL01AF0914</t>
  </si>
  <si>
    <t>KA01AN0973</t>
  </si>
  <si>
    <t>MMC</t>
  </si>
  <si>
    <t>RJ14GP2189</t>
  </si>
  <si>
    <t>KA01AL9139</t>
  </si>
  <si>
    <t>RJ19GH7454</t>
  </si>
  <si>
    <t>KA01AM4291</t>
  </si>
  <si>
    <t xml:space="preserve">AJAY KUMAR </t>
  </si>
  <si>
    <t>AGP/LNG/581</t>
  </si>
  <si>
    <t>KA01AN9647</t>
  </si>
  <si>
    <t>KA01AM6192</t>
  </si>
  <si>
    <t>Nellore</t>
  </si>
  <si>
    <t>NL01AE4801</t>
  </si>
  <si>
    <t>RJ19GH7453</t>
  </si>
  <si>
    <t>KA01AM6977</t>
  </si>
  <si>
    <t>GJ16AW0975</t>
  </si>
  <si>
    <t>KA01AM6829</t>
  </si>
  <si>
    <t>AP39VD4480</t>
  </si>
  <si>
    <t>GJ16AW0219</t>
  </si>
  <si>
    <t>KA01AM6187</t>
  </si>
  <si>
    <t>AP39UL4522</t>
  </si>
  <si>
    <t>GJ39TA2616</t>
  </si>
  <si>
    <t>KL41V0256</t>
  </si>
  <si>
    <t>VISHNU M</t>
  </si>
  <si>
    <t>AGP/CNG/AKT/130</t>
  </si>
  <si>
    <t>KA01AM6281</t>
  </si>
  <si>
    <t>KA01AN9662</t>
  </si>
  <si>
    <t>KA01AM6978</t>
  </si>
  <si>
    <t>AGP/LNG/249</t>
  </si>
  <si>
    <t>GJ05CU0353</t>
  </si>
  <si>
    <t>TN88K3420</t>
  </si>
  <si>
    <t>RJ19GH7359</t>
  </si>
  <si>
    <t>Oraya Gas India Pvt.Ltd.</t>
  </si>
  <si>
    <t>GJ12BX3738</t>
  </si>
  <si>
    <t>KA01AM4882</t>
  </si>
  <si>
    <t>AP39UG3760</t>
  </si>
  <si>
    <t>KA01AP0745</t>
  </si>
  <si>
    <t>KA01AN9644</t>
  </si>
  <si>
    <t>KL41V0273</t>
  </si>
  <si>
    <t>TN33BY1350</t>
  </si>
  <si>
    <t>KA01AP0637</t>
  </si>
  <si>
    <t>KA01AN8716</t>
  </si>
  <si>
    <t>BKR</t>
  </si>
  <si>
    <t>RJ19GH7141</t>
  </si>
  <si>
    <t>GJ12BX5648</t>
  </si>
  <si>
    <t>GJ12BX4612</t>
  </si>
  <si>
    <t>TN88J0415</t>
  </si>
  <si>
    <t>KL41U2898</t>
  </si>
  <si>
    <t>AP39VD4951</t>
  </si>
  <si>
    <t>TN33BY1550</t>
  </si>
  <si>
    <t>NL01AF1649</t>
  </si>
  <si>
    <t>KA01AN9646</t>
  </si>
  <si>
    <t>KL09AV2510</t>
  </si>
  <si>
    <t>TN88K1523</t>
  </si>
  <si>
    <t>AJITH KUMAR S</t>
  </si>
  <si>
    <t>MH14KQ8144</t>
  </si>
  <si>
    <t>TN13AD9466</t>
  </si>
  <si>
    <t>TN88J4061</t>
  </si>
  <si>
    <t>Anisha Logistics</t>
  </si>
  <si>
    <t>GJ27TT8255</t>
  </si>
  <si>
    <t>KA01AM7156</t>
  </si>
  <si>
    <t>Kolar</t>
  </si>
  <si>
    <t>KL41V9316</t>
  </si>
  <si>
    <t>KA01AN8720</t>
  </si>
  <si>
    <t>TN87B7069</t>
  </si>
  <si>
    <t>AJAY KUMAR</t>
  </si>
  <si>
    <t>TN87B6382</t>
  </si>
  <si>
    <t>AP39VD2832</t>
  </si>
  <si>
    <t>GJ16AW0075</t>
  </si>
  <si>
    <t>KL09AV4263</t>
  </si>
  <si>
    <t>TN13AF3642</t>
  </si>
  <si>
    <t>KA01AL6761</t>
  </si>
  <si>
    <t>AGP/LNG/594</t>
  </si>
  <si>
    <t>KA01AP0281</t>
  </si>
  <si>
    <t>AP39UL3916</t>
  </si>
  <si>
    <t>KA01AN9659</t>
  </si>
  <si>
    <t>TN13AC3976</t>
  </si>
  <si>
    <t>TN88L3603</t>
  </si>
  <si>
    <t>TN33BY1306</t>
  </si>
  <si>
    <t>TN33BY1503</t>
  </si>
  <si>
    <t>TN33BY1382</t>
  </si>
  <si>
    <t>KA01AM7158</t>
  </si>
  <si>
    <t>TN88J2631</t>
  </si>
  <si>
    <t>Vedhamani</t>
  </si>
  <si>
    <t>Suraj Tour &amp; Travels</t>
  </si>
  <si>
    <t>RJ19GK3117</t>
  </si>
  <si>
    <t>KA01AN2568</t>
  </si>
  <si>
    <t>KA01AM9727</t>
  </si>
  <si>
    <t>KA01AM7142</t>
  </si>
  <si>
    <t>RJ14GP5033</t>
  </si>
  <si>
    <t>TN13AB8624</t>
  </si>
  <si>
    <t>MH47BL6307</t>
  </si>
  <si>
    <t>TN33BY1383</t>
  </si>
  <si>
    <t>RJ19GH8953</t>
  </si>
  <si>
    <t>KA01AL7519</t>
  </si>
  <si>
    <t>TN88J0306</t>
  </si>
  <si>
    <t>SHIV NARAYAN JAISWAL</t>
  </si>
  <si>
    <t>TN88J3746</t>
  </si>
  <si>
    <t>KA01AP0280</t>
  </si>
  <si>
    <t>TN88J8394</t>
  </si>
  <si>
    <t>TN88K5754</t>
  </si>
  <si>
    <t>Ramanathapuram</t>
  </si>
  <si>
    <t>KA01AN9656</t>
  </si>
  <si>
    <t>KA01AP7364</t>
  </si>
  <si>
    <t>KA01AL4119</t>
  </si>
  <si>
    <t>Rajendra Pratap Singh</t>
  </si>
  <si>
    <t>AGP/LNG/337</t>
  </si>
  <si>
    <t>GJ12BX5521</t>
  </si>
  <si>
    <t>KA01AM4286</t>
  </si>
  <si>
    <t>TN88J0417</t>
  </si>
  <si>
    <t>KA01AQ1013</t>
  </si>
  <si>
    <t xml:space="preserve">Channakeshava G A </t>
  </si>
  <si>
    <t>AGP/CNG/CHK/465</t>
  </si>
  <si>
    <t>GJ16AW1575</t>
  </si>
  <si>
    <t>NL01AF0917</t>
  </si>
  <si>
    <t>AGP/LNG/104</t>
  </si>
  <si>
    <t>KA01AN9660</t>
  </si>
  <si>
    <t>TN88J4240</t>
  </si>
  <si>
    <t>KA01AM6113</t>
  </si>
  <si>
    <t>KL41U2769</t>
  </si>
  <si>
    <t>SREERAJ B</t>
  </si>
  <si>
    <t>AGP/CNG/AKT/126</t>
  </si>
  <si>
    <t>KA01AM7160</t>
  </si>
  <si>
    <t>TN13AB7517</t>
  </si>
  <si>
    <t>TN88K3190</t>
  </si>
  <si>
    <t>KA01AN9652</t>
  </si>
  <si>
    <t>TN13AB8678</t>
  </si>
  <si>
    <t>AP39UG3761</t>
  </si>
  <si>
    <t>AP39VD2833</t>
  </si>
  <si>
    <t>Moidin Basha K</t>
  </si>
  <si>
    <t>KA01AQ5990</t>
  </si>
  <si>
    <t>KA01AN7742</t>
  </si>
  <si>
    <t>AGP/CNG/CHK/485</t>
  </si>
  <si>
    <t>AP39UG3757</t>
  </si>
  <si>
    <t>SK MOWLAVALLI</t>
  </si>
  <si>
    <t>AGP/CNG/NLR/0026</t>
  </si>
  <si>
    <t>Aneesh</t>
  </si>
  <si>
    <t>Id not created</t>
  </si>
  <si>
    <t>RJ19GH7451</t>
  </si>
  <si>
    <t>NL01AH5875</t>
  </si>
  <si>
    <t>KA01AN9655</t>
  </si>
  <si>
    <t>KA01AM6283</t>
  </si>
  <si>
    <t>RJ19GK3119</t>
  </si>
  <si>
    <t>A M SURESH</t>
  </si>
  <si>
    <t>KA01AN7744</t>
  </si>
  <si>
    <t>TN87B6483</t>
  </si>
  <si>
    <t>GJ05CU1486</t>
  </si>
  <si>
    <t>TG/CNG/BJJ/234</t>
  </si>
  <si>
    <t>Athul</t>
  </si>
  <si>
    <t>TN88H7768</t>
  </si>
  <si>
    <t>KL41V9327</t>
  </si>
  <si>
    <t>KA01AP0282</t>
  </si>
  <si>
    <t>ATHUL S</t>
  </si>
  <si>
    <t>AGP/CNG/AKT/154</t>
  </si>
  <si>
    <t>TN88K5317</t>
  </si>
  <si>
    <t>KA01AN8718</t>
  </si>
  <si>
    <t>KL09AV1246</t>
  </si>
  <si>
    <t>SARATH S</t>
  </si>
  <si>
    <t>AGP/CNG/AKT/102</t>
  </si>
  <si>
    <t>RJ14GP9113</t>
  </si>
  <si>
    <t>TN88M2093</t>
  </si>
  <si>
    <t>KA01AP0285</t>
  </si>
  <si>
    <t>KA01AP7365</t>
  </si>
  <si>
    <t>KA01AM8785</t>
  </si>
  <si>
    <t>TN88H6575</t>
  </si>
  <si>
    <t>TN14AS3397</t>
  </si>
  <si>
    <t>KL41U2913</t>
  </si>
  <si>
    <t>RJ19GH6360</t>
  </si>
  <si>
    <t>KA01AL3719</t>
  </si>
  <si>
    <t>KA01AM6827</t>
  </si>
  <si>
    <t>KA01AM7140</t>
  </si>
  <si>
    <t xml:space="preserve">Sandeep Kumar Sharma </t>
  </si>
  <si>
    <t>KA01AM6186</t>
  </si>
  <si>
    <t>MP04YH6379</t>
  </si>
  <si>
    <t>Bhopal</t>
  </si>
  <si>
    <t>TN12BR3283</t>
  </si>
  <si>
    <t>MP09AV9175</t>
  </si>
  <si>
    <t>MP04GB5706</t>
  </si>
  <si>
    <t>KL41U3416</t>
  </si>
  <si>
    <t>KL09AV9132</t>
  </si>
  <si>
    <t>KA01AS2378</t>
  </si>
  <si>
    <t>TN88K2446</t>
  </si>
  <si>
    <t>MP04GB5737</t>
  </si>
  <si>
    <t>TN88L6404</t>
  </si>
  <si>
    <t>KL41U3457</t>
  </si>
  <si>
    <t>RJ14GP1506</t>
  </si>
  <si>
    <t>Yatheendran</t>
  </si>
  <si>
    <t>KA01AM5294</t>
  </si>
  <si>
    <t>TN88K5359</t>
  </si>
  <si>
    <t>Dhanasekaran</t>
  </si>
  <si>
    <t>AGP/CNG/KANCHI/135</t>
  </si>
  <si>
    <t>MP09AV9775</t>
  </si>
  <si>
    <t>Thirukannan.V   </t>
  </si>
  <si>
    <t>NL01AH0275</t>
  </si>
  <si>
    <t>KA01AN9653</t>
  </si>
  <si>
    <t>UP17AT8481</t>
  </si>
  <si>
    <t>Suresh K</t>
  </si>
  <si>
    <t>AGP/CNG/KANCHI/204</t>
  </si>
  <si>
    <t>NL01AF1650</t>
  </si>
  <si>
    <t>TN12BR3274</t>
  </si>
  <si>
    <t>Gas Point</t>
  </si>
  <si>
    <t>MP09GH9958</t>
  </si>
  <si>
    <t>Bharathuvaraj</t>
  </si>
  <si>
    <t>AGP/CNG/KANCHI/207</t>
  </si>
  <si>
    <t>VehicleNumber</t>
  </si>
  <si>
    <t>VehicleType</t>
  </si>
  <si>
    <t>Transporter Name</t>
  </si>
  <si>
    <t>GALocation</t>
  </si>
  <si>
    <t>LNG</t>
  </si>
  <si>
    <t>NL01AE4803</t>
  </si>
  <si>
    <t>KA01AM4883</t>
  </si>
  <si>
    <t>GJ16AW0275</t>
  </si>
  <si>
    <t>GJ16AW0875</t>
  </si>
  <si>
    <t>GJ05CU1773</t>
  </si>
  <si>
    <t>TN88J2146</t>
  </si>
  <si>
    <t>GJ16AW1875</t>
  </si>
  <si>
    <t>NL01AG8475</t>
  </si>
  <si>
    <t>GJ03BZ0864</t>
  </si>
  <si>
    <t xml:space="preserve">Clean Green Fuel and Logistic </t>
  </si>
  <si>
    <t>KA01AR7750</t>
  </si>
  <si>
    <t>NL01AJ9375</t>
  </si>
  <si>
    <t>NL01AJ9475</t>
  </si>
  <si>
    <t>NL01AJ0603</t>
  </si>
  <si>
    <t>NL01AH9067</t>
  </si>
  <si>
    <t>Expo Trans India Limited</t>
  </si>
  <si>
    <t>NL01AH9066</t>
  </si>
  <si>
    <t>NL01AH4140</t>
  </si>
  <si>
    <t>NL01AK3331</t>
  </si>
  <si>
    <t>TN88J3078</t>
  </si>
  <si>
    <t>HCV</t>
  </si>
  <si>
    <t>AP39UG3756</t>
  </si>
  <si>
    <t>RJ14GP1507</t>
  </si>
  <si>
    <t>RJ14GP1508</t>
  </si>
  <si>
    <t>RJ14GP1807</t>
  </si>
  <si>
    <t>RJ14GP2190</t>
  </si>
  <si>
    <t>RJ14GP2193</t>
  </si>
  <si>
    <t>TN88J3012</t>
  </si>
  <si>
    <t>TN88H8284</t>
  </si>
  <si>
    <t>KA01AM5295</t>
  </si>
  <si>
    <t>KA01AM6193</t>
  </si>
  <si>
    <t>KL09AV4329</t>
  </si>
  <si>
    <t>KA01AM6190</t>
  </si>
  <si>
    <t>TN88H8272</t>
  </si>
  <si>
    <t>TN88J2674</t>
  </si>
  <si>
    <t>TN88H8066</t>
  </si>
  <si>
    <t>TN88J3623</t>
  </si>
  <si>
    <t>TN88J2644</t>
  </si>
  <si>
    <t>KA01AM6185</t>
  </si>
  <si>
    <t>TN88J3944</t>
  </si>
  <si>
    <t>RJ14GP2968</t>
  </si>
  <si>
    <t>RJ14GP2964</t>
  </si>
  <si>
    <t>TN88J2106</t>
  </si>
  <si>
    <t>KA01AM7159</t>
  </si>
  <si>
    <t>KA01AM7383</t>
  </si>
  <si>
    <t>KA01AM8247</t>
  </si>
  <si>
    <t>RJ19GH6144</t>
  </si>
  <si>
    <t>KA01AM9350</t>
  </si>
  <si>
    <t>RJ19GH6331</t>
  </si>
  <si>
    <t>KA01AM9351</t>
  </si>
  <si>
    <t>KA01AM9726</t>
  </si>
  <si>
    <t>AP39UL3917</t>
  </si>
  <si>
    <t>RJ19GH7140</t>
  </si>
  <si>
    <t>KA01AM9724</t>
  </si>
  <si>
    <t>KA01AM9725</t>
  </si>
  <si>
    <t>KA01AN0969</t>
  </si>
  <si>
    <t>KA01AN0967</t>
  </si>
  <si>
    <t>KA01AN0972</t>
  </si>
  <si>
    <t>RJ19GH7528</t>
  </si>
  <si>
    <t>KA01AN2556</t>
  </si>
  <si>
    <t>KA01AN2557</t>
  </si>
  <si>
    <t>KA01AN2554</t>
  </si>
  <si>
    <t>KA01AN2553</t>
  </si>
  <si>
    <t>RJ19GH8844</t>
  </si>
  <si>
    <t>RJ19GH8846</t>
  </si>
  <si>
    <t>KA01AM5285</t>
  </si>
  <si>
    <t>RJ14GQ3902</t>
  </si>
  <si>
    <t>TN13AB7605</t>
  </si>
  <si>
    <t>TN14AF1329</t>
  </si>
  <si>
    <t>KA01AN7743</t>
  </si>
  <si>
    <t>KA01AN7745</t>
  </si>
  <si>
    <t>KA01AN7746</t>
  </si>
  <si>
    <t>KA01AN7747</t>
  </si>
  <si>
    <t>KL41U2721</t>
  </si>
  <si>
    <t>KA01AN7741</t>
  </si>
  <si>
    <t>KL41U2912</t>
  </si>
  <si>
    <t>TN88K3411</t>
  </si>
  <si>
    <t>TN88K3112</t>
  </si>
  <si>
    <t>KA01AN8719</t>
  </si>
  <si>
    <t>RJ14GQ3899</t>
  </si>
  <si>
    <t>RJ14GQ3900</t>
  </si>
  <si>
    <t>TN13AC3835</t>
  </si>
  <si>
    <t>KA01AN9658</t>
  </si>
  <si>
    <t>KA01AP0279</t>
  </si>
  <si>
    <t>KA01AP0283</t>
  </si>
  <si>
    <t>KA01AP0284</t>
  </si>
  <si>
    <t>TN33BY1573</t>
  </si>
  <si>
    <t>KA01AN9649</t>
  </si>
  <si>
    <t>KA01AN9645</t>
  </si>
  <si>
    <t>KA01AN9651</t>
  </si>
  <si>
    <t>KA01AN9650</t>
  </si>
  <si>
    <t>KA01AN9654</t>
  </si>
  <si>
    <t>KA01AN9663</t>
  </si>
  <si>
    <t>TN88K5743</t>
  </si>
  <si>
    <t>AP39VD4483</t>
  </si>
  <si>
    <t>AP39VD4478</t>
  </si>
  <si>
    <t>AP39VD4481</t>
  </si>
  <si>
    <t>AP39VD4482</t>
  </si>
  <si>
    <t>AP39VD4484</t>
  </si>
  <si>
    <t>TN88K9895</t>
  </si>
  <si>
    <t>TN13AD9483</t>
  </si>
  <si>
    <t>KA01AP7366</t>
  </si>
  <si>
    <t>KA01AP7385</t>
  </si>
  <si>
    <t>KA01AP7384</t>
  </si>
  <si>
    <t>TN88L0460</t>
  </si>
  <si>
    <t>KA01AP8453</t>
  </si>
  <si>
    <t>KA01AP8457</t>
  </si>
  <si>
    <t>GJ27TT7992</t>
  </si>
  <si>
    <t>GJ27TT7917</t>
  </si>
  <si>
    <t>GJ27TT7836</t>
  </si>
  <si>
    <t>TN88L3657</t>
  </si>
  <si>
    <t>TN88L3994</t>
  </si>
  <si>
    <t>TN13AF3627</t>
  </si>
  <si>
    <t>TN88L4287</t>
  </si>
  <si>
    <t>KA01AQ5987</t>
  </si>
  <si>
    <t>KA01AQ5991</t>
  </si>
  <si>
    <t>TN88L5239</t>
  </si>
  <si>
    <t>KL41V5658</t>
  </si>
  <si>
    <t>BR09GB6687</t>
  </si>
  <si>
    <t>Begusarai</t>
  </si>
  <si>
    <t>BR09GB6686</t>
  </si>
  <si>
    <t>GJ27TT6842</t>
  </si>
  <si>
    <t>Jalandhar</t>
  </si>
  <si>
    <t>BR09GB4937</t>
  </si>
  <si>
    <t>BR09GB4938</t>
  </si>
  <si>
    <t>MP06GA3660</t>
  </si>
  <si>
    <t>MP04GB5705</t>
  </si>
  <si>
    <t>MP04GB5752</t>
  </si>
  <si>
    <t>MP04GB5784</t>
  </si>
  <si>
    <t>MP06GA3691</t>
  </si>
  <si>
    <t>MP04GB5977</t>
  </si>
  <si>
    <t>MP04GB6130</t>
  </si>
  <si>
    <t>MP04GB6133</t>
  </si>
  <si>
    <t>GJ27TT8668</t>
  </si>
  <si>
    <t>MP09GH9849</t>
  </si>
  <si>
    <t>MP09GH9850</t>
  </si>
  <si>
    <t>MP09GH9952</t>
  </si>
  <si>
    <t>MP09GH9954</t>
  </si>
  <si>
    <t>MP09GJ0465</t>
  </si>
  <si>
    <t>MP09GJ0467</t>
  </si>
  <si>
    <t>MP09GJ0469</t>
  </si>
  <si>
    <t>MP09GJ0466</t>
  </si>
  <si>
    <t>MP09GJ0468</t>
  </si>
  <si>
    <t>MP04YH8133</t>
  </si>
  <si>
    <t>Shivpuri</t>
  </si>
  <si>
    <t>MP04YH9274</t>
  </si>
  <si>
    <t>MP04YH9287</t>
  </si>
  <si>
    <t>TN88L6481</t>
  </si>
  <si>
    <t>PB11CX5682</t>
  </si>
  <si>
    <t>PB11CX5683</t>
  </si>
  <si>
    <t>PB11CX5861</t>
  </si>
  <si>
    <t>PB11CX5862</t>
  </si>
  <si>
    <t>GJ27TT6114</t>
  </si>
  <si>
    <t>GJ27TT6216</t>
  </si>
  <si>
    <t>GJ27TT6360</t>
  </si>
  <si>
    <t>GJ27TT7829</t>
  </si>
  <si>
    <t>GJ27TT8248</t>
  </si>
  <si>
    <t>GJ27TT8326</t>
  </si>
  <si>
    <t>GJ27TT8395</t>
  </si>
  <si>
    <t>Ludhiana</t>
  </si>
  <si>
    <t>GJ27TT8396</t>
  </si>
  <si>
    <t>GJ27TT8472</t>
  </si>
  <si>
    <t>PB10HT6184</t>
  </si>
  <si>
    <t>PB65BC2250</t>
  </si>
  <si>
    <t>Baghpat</t>
  </si>
  <si>
    <t>PB65BC2253</t>
  </si>
  <si>
    <t>PB65BC2254</t>
  </si>
  <si>
    <t>PB10HT5638</t>
  </si>
  <si>
    <t>PB65BC2256</t>
  </si>
  <si>
    <t>PB10HT5634</t>
  </si>
  <si>
    <t>UP53GT8802</t>
  </si>
  <si>
    <t>UP53GT8803</t>
  </si>
  <si>
    <t>UP53GT8804</t>
  </si>
  <si>
    <t>UP53GT9081</t>
  </si>
  <si>
    <t>UP53GT9082</t>
  </si>
  <si>
    <t>UP53GT9083</t>
  </si>
  <si>
    <t>UP53KT1960</t>
  </si>
  <si>
    <t>UP53KT1961</t>
  </si>
  <si>
    <t>UP53KT1962</t>
  </si>
  <si>
    <t>PB10HT5631</t>
  </si>
  <si>
    <t>PB10HT5639</t>
  </si>
  <si>
    <t>PB10HT6183</t>
  </si>
  <si>
    <t>TN13AH3439</t>
  </si>
  <si>
    <t>MP04YJ0774</t>
  </si>
  <si>
    <t>UP32YN8115</t>
  </si>
  <si>
    <t>Anmol Transport</t>
  </si>
  <si>
    <t>UP32YN8116</t>
  </si>
  <si>
    <t>UP32YN8117</t>
  </si>
  <si>
    <t>UP32YN8119</t>
  </si>
  <si>
    <t>UP32YN8120</t>
  </si>
  <si>
    <t>UP32ZN0058</t>
  </si>
  <si>
    <t>UP32YN8097</t>
  </si>
  <si>
    <t>UP32YN8098</t>
  </si>
  <si>
    <t>PB11DK2234</t>
  </si>
  <si>
    <t>PB11DK2235</t>
  </si>
  <si>
    <t>PB11DK2236</t>
  </si>
  <si>
    <t>PB11DK2237</t>
  </si>
  <si>
    <t>PB11DK2238</t>
  </si>
  <si>
    <t>PB11DK2239</t>
  </si>
  <si>
    <t>PB11DK2657</t>
  </si>
  <si>
    <t>PB11DK2658</t>
  </si>
  <si>
    <t>PB11DK2659</t>
  </si>
  <si>
    <t>PB11DK2660</t>
  </si>
  <si>
    <t>PB11DK2661</t>
  </si>
  <si>
    <t>PB11DK3481</t>
  </si>
  <si>
    <t>RJ19GJ9026</t>
  </si>
  <si>
    <t>RJ19GJ9025</t>
  </si>
  <si>
    <t>RJ19GJ9028</t>
  </si>
  <si>
    <t>TN88L8420</t>
  </si>
  <si>
    <t>TN13AH3449</t>
  </si>
  <si>
    <t>UP17AT7423</t>
  </si>
  <si>
    <t>UP17AT7422</t>
  </si>
  <si>
    <t>TN13AH8703</t>
  </si>
  <si>
    <t>TN13AH8760</t>
  </si>
  <si>
    <t>TN88M1462</t>
  </si>
  <si>
    <t>TN13AH8770</t>
  </si>
  <si>
    <t>RJ19GK1679</t>
  </si>
  <si>
    <t>KA01AS2380</t>
  </si>
  <si>
    <t>KA01AS2381</t>
  </si>
  <si>
    <t>RJ19GK2239</t>
  </si>
  <si>
    <t>RJ19GK2430</t>
  </si>
  <si>
    <t>RJ19GK2362</t>
  </si>
  <si>
    <t>KA01AS2379</t>
  </si>
  <si>
    <t>UP53GT7634</t>
  </si>
  <si>
    <t>KA01AS2383</t>
  </si>
  <si>
    <t>KA01AS2382</t>
  </si>
  <si>
    <t>RJ19GK2240</t>
  </si>
  <si>
    <t>MP09AV9375</t>
  </si>
  <si>
    <t>MP09AV9475</t>
  </si>
  <si>
    <t>MP09AV9075</t>
  </si>
  <si>
    <t>MP04YT8727</t>
  </si>
  <si>
    <t>MP04YT8607</t>
  </si>
  <si>
    <t>MP04YT8701</t>
  </si>
  <si>
    <t>MP04YT8665</t>
  </si>
  <si>
    <t>MP04YT8793</t>
  </si>
  <si>
    <t>MP09AV9675</t>
  </si>
  <si>
    <t>MP04YT8747</t>
  </si>
  <si>
    <t>MP09AV9875</t>
  </si>
  <si>
    <t>MP04YT8649</t>
  </si>
  <si>
    <t>MP04YT8662</t>
  </si>
  <si>
    <t>MP09AV9275</t>
  </si>
  <si>
    <t>MP04YT8603</t>
  </si>
  <si>
    <t>MP04YT8659</t>
  </si>
  <si>
    <t>PB02FE0527</t>
  </si>
  <si>
    <t>PB02FE0539</t>
  </si>
  <si>
    <t>PB02FE0537</t>
  </si>
  <si>
    <t>PB02FE0519</t>
  </si>
  <si>
    <t>PB02FE0529</t>
  </si>
  <si>
    <t>RJ19GK3120</t>
  </si>
  <si>
    <t>RJ19GK3123</t>
  </si>
  <si>
    <t>RJ19GK3124</t>
  </si>
  <si>
    <t>RJ19GK3122</t>
  </si>
  <si>
    <t>TN88K2750</t>
  </si>
  <si>
    <t>TN88J9345</t>
  </si>
  <si>
    <t>TN88K2740</t>
  </si>
  <si>
    <t>MH09FL8805</t>
  </si>
  <si>
    <t>TN88M7807</t>
  </si>
  <si>
    <t>TN12BR3291</t>
  </si>
  <si>
    <t>KL41W9026</t>
  </si>
  <si>
    <t>PB02FG4116</t>
  </si>
  <si>
    <t>PB02FG4115</t>
  </si>
  <si>
    <t>RJ14GN9753</t>
  </si>
  <si>
    <t>Vehicle No</t>
  </si>
  <si>
    <t>Night Driving</t>
  </si>
  <si>
    <t>Total</t>
  </si>
  <si>
    <t xml:space="preserve">Report For Date </t>
  </si>
  <si>
    <t>Location</t>
  </si>
  <si>
    <t>Driver Fatigue</t>
  </si>
  <si>
    <t>Harsh Braking</t>
  </si>
  <si>
    <t>Over speed</t>
  </si>
  <si>
    <t>Sudden Acceleration</t>
  </si>
  <si>
    <t>Continuous Driving</t>
  </si>
  <si>
    <t xml:space="preserve">Report From Date </t>
  </si>
  <si>
    <t>GA</t>
  </si>
  <si>
    <t>No of vehicles in Operation</t>
  </si>
  <si>
    <t>Camera Fitted</t>
  </si>
  <si>
    <t>Camera not Fitted</t>
  </si>
  <si>
    <t>AI camera working  
( 23 Feb )</t>
  </si>
  <si>
    <t>Violations/Vehicle/Day</t>
  </si>
  <si>
    <t>Alapuza, Trivandrum</t>
  </si>
  <si>
    <t>Ananthapur, Kadappa</t>
  </si>
  <si>
    <t>Jodhpur</t>
  </si>
  <si>
    <t>Bagalkot, Raichur</t>
  </si>
  <si>
    <t>Hassan</t>
  </si>
  <si>
    <t>Kanchipuram</t>
  </si>
  <si>
    <t>Kalburgi, Vijayapura</t>
  </si>
  <si>
    <t>Mysuru</t>
  </si>
  <si>
    <t>RMN</t>
  </si>
  <si>
    <t>Tirupathi</t>
  </si>
  <si>
    <t>Shivamogga, Haveri</t>
  </si>
  <si>
    <t>Bhopal / Shivpuri</t>
  </si>
  <si>
    <t>Jalandhar / Ludhiana</t>
  </si>
  <si>
    <t>Ennore/Dabhol</t>
  </si>
  <si>
    <t xml:space="preserve">Best performer </t>
  </si>
  <si>
    <t xml:space="preserve">Month </t>
  </si>
  <si>
    <t xml:space="preserve">Highest Violation Contributer </t>
  </si>
  <si>
    <t>Month</t>
  </si>
  <si>
    <t>Day</t>
  </si>
  <si>
    <t>Row Labels</t>
  </si>
  <si>
    <t>Grand Total</t>
  </si>
  <si>
    <t xml:space="preserve"> Violations/Vehicle/Day</t>
  </si>
  <si>
    <t xml:space="preserve">  Violations/Vehicle/Day</t>
  </si>
  <si>
    <t>Highest Violations Contributor GA/Terminal</t>
  </si>
  <si>
    <t>Best Performer GA/Terminal</t>
  </si>
  <si>
    <t xml:space="preserve">GA </t>
  </si>
  <si>
    <t>Magna Ram</t>
  </si>
  <si>
    <t>AGP/CNG/BJJ/175</t>
  </si>
  <si>
    <t>Rakesh Ahirwar  </t>
  </si>
  <si>
    <t>TG/CNG/Bhopal/069</t>
  </si>
  <si>
    <t xml:space="preserve">Jai Prakash Tiwari </t>
  </si>
  <si>
    <t>lovepreet singh</t>
  </si>
  <si>
    <t>TG/CNG/Ludhiana/093</t>
  </si>
  <si>
    <t xml:space="preserve">PREMCHAND B N </t>
  </si>
  <si>
    <t>AGP/CNG/KOL/029</t>
  </si>
  <si>
    <t xml:space="preserve">Magna Ram </t>
  </si>
  <si>
    <t xml:space="preserve">ANOOP M.U </t>
  </si>
  <si>
    <t>AGP/LNG/555</t>
  </si>
  <si>
    <t>MOHAMMAD ASIF</t>
  </si>
  <si>
    <t>AGP/LNG/583</t>
  </si>
  <si>
    <t>Sujit</t>
  </si>
  <si>
    <t>ID not created</t>
  </si>
  <si>
    <t>PREM SINGH</t>
  </si>
  <si>
    <t>AGP/LNG/543</t>
  </si>
  <si>
    <t>AGP/CNG/KANCHI/227</t>
  </si>
  <si>
    <t>FAZLOOR RAHMAN S</t>
  </si>
  <si>
    <t>AGP/CNG/VEL/042</t>
  </si>
  <si>
    <t>ARVIND KUMAR GAUTAM</t>
  </si>
  <si>
    <t>AGP/LNG/314</t>
  </si>
  <si>
    <t>Raghavendra V</t>
  </si>
  <si>
    <t>AGP/CNG/ANK/5099</t>
  </si>
  <si>
    <t>Sreelaal</t>
  </si>
  <si>
    <t>Sahdev</t>
  </si>
  <si>
    <t>AGP/CNG/BJJ/033</t>
  </si>
  <si>
    <t>GAURAV KUMAR</t>
  </si>
  <si>
    <t>AGP/LNG/500</t>
  </si>
  <si>
    <t>Pawan Kumar 3481</t>
  </si>
  <si>
    <t>TG/CNG/Ludhiana/112</t>
  </si>
  <si>
    <t>PREMCHAND B N</t>
  </si>
  <si>
    <t xml:space="preserve">MOHAMMAD ASIF </t>
  </si>
  <si>
    <t>Balaji R</t>
  </si>
  <si>
    <t>AGP/LNG/070</t>
  </si>
  <si>
    <t>SUKHJINDER SINGH5638</t>
  </si>
  <si>
    <t>TG/CNG/Ludhiana/066</t>
  </si>
  <si>
    <t>Niranjan Singh 2658</t>
  </si>
  <si>
    <t>TG/CNG/Ludhiana/107</t>
  </si>
  <si>
    <t>Shekhar Kumar</t>
  </si>
  <si>
    <t>AGP/CNG/BJJ/171</t>
  </si>
  <si>
    <t>Amarjeet Prajapati</t>
  </si>
  <si>
    <t>AGP/CNG/BJJ/114</t>
  </si>
  <si>
    <t>BALARAJU S</t>
  </si>
  <si>
    <t>AGP/CNG /UHS/006</t>
  </si>
  <si>
    <t>Ravikumar A</t>
  </si>
  <si>
    <t>AGP/LNG/130</t>
  </si>
  <si>
    <t xml:space="preserve">S.Nagendra </t>
  </si>
  <si>
    <t>AGP/ANK/CNG/5034</t>
  </si>
  <si>
    <t xml:space="preserve">Rohit thakur </t>
  </si>
  <si>
    <t>TG/CNG/Bhopal/105</t>
  </si>
  <si>
    <t>Khadar Basha</t>
  </si>
  <si>
    <t>AGP/CNG/ANK/5020</t>
  </si>
  <si>
    <t xml:space="preserve">ABDUL KARIM </t>
  </si>
  <si>
    <t>AGP/LNG/606</t>
  </si>
  <si>
    <t>AGP/CNG/AKT/164</t>
  </si>
  <si>
    <t>Manoj shahu</t>
  </si>
  <si>
    <t>TG/CNG/Bhopal/038</t>
  </si>
  <si>
    <t>SUBEESH BABU</t>
  </si>
  <si>
    <t>AGP/LNG/604</t>
  </si>
  <si>
    <t>Dinesh kumar</t>
  </si>
  <si>
    <t>TG/CNG/Bhopal/009</t>
  </si>
  <si>
    <t> PREMCHAND B N</t>
  </si>
  <si>
    <t>Akhil K P</t>
  </si>
  <si>
    <t>AGP/LNG/162</t>
  </si>
  <si>
    <t>SINU MON S.S</t>
  </si>
  <si>
    <t>AGP/LNG/569</t>
  </si>
  <si>
    <t xml:space="preserve">ARUN RAJ A </t>
  </si>
  <si>
    <t>AGP/CNG/AKT/127</t>
  </si>
  <si>
    <t>Nagarjuna D</t>
  </si>
  <si>
    <t>AGP/CNG/ANK/5064</t>
  </si>
  <si>
    <t xml:space="preserve">Dipa Ram </t>
  </si>
  <si>
    <t xml:space="preserve">Vithal Rao </t>
  </si>
  <si>
    <t>AGP/CNG/KNV/0733</t>
  </si>
  <si>
    <t>Gurpreet Singh spare</t>
  </si>
  <si>
    <t>(TG/CNG/Ludhiana/117</t>
  </si>
  <si>
    <t xml:space="preserve">Arvind Kumar Pal </t>
  </si>
  <si>
    <t>AGP/LNG/573</t>
  </si>
  <si>
    <t>Govardhan Lodhi</t>
  </si>
  <si>
    <t>TG/CNG/Bhopal/015</t>
  </si>
  <si>
    <t>Selvam J</t>
  </si>
  <si>
    <t>AGP/LNG/001</t>
  </si>
  <si>
    <t>Saravanan S</t>
  </si>
  <si>
    <t>AGP/LNG/426</t>
  </si>
  <si>
    <t xml:space="preserve">ARUN RAJA </t>
  </si>
  <si>
    <t xml:space="preserve">Israr Khan </t>
  </si>
  <si>
    <t>AGP/LNG/574</t>
  </si>
  <si>
    <t>Gurwinder Singh 2254</t>
  </si>
  <si>
    <t>TG/CNG/Ludhiana/098</t>
  </si>
  <si>
    <t xml:space="preserve">PRAKASH SASIDHARAN </t>
  </si>
  <si>
    <t>AGP/CNG/AKT/038</t>
  </si>
  <si>
    <t xml:space="preserve">Ratheesh Kumar S </t>
  </si>
  <si>
    <t>AGP/LNG/289</t>
  </si>
  <si>
    <t>Ramashis Singh</t>
  </si>
  <si>
    <t>AGP/LNG/259</t>
  </si>
  <si>
    <t xml:space="preserve">Shekhar Kumar </t>
  </si>
  <si>
    <t xml:space="preserve">P ALAGARSAMY </t>
  </si>
  <si>
    <t>AGP/LNG/503</t>
  </si>
  <si>
    <t>Golu Yadav</t>
  </si>
  <si>
    <t>TG/CNG/Bhopal/042</t>
  </si>
  <si>
    <t>RAMANAND PAL</t>
  </si>
  <si>
    <t>AGP/LNG/584</t>
  </si>
  <si>
    <t>Santhakumar T</t>
  </si>
  <si>
    <t>AGP/CNG/KANCHI/216</t>
  </si>
  <si>
    <t>SHIV KUMAR</t>
  </si>
  <si>
    <t>TG/CNG/Baghpat/065</t>
  </si>
  <si>
    <t>Ramesh chinraj</t>
  </si>
  <si>
    <t>AGP/LNG/258</t>
  </si>
  <si>
    <t>Ajeet Kumar Gaur</t>
  </si>
  <si>
    <t>AGP/LNG/601</t>
  </si>
  <si>
    <t>Manobalan G</t>
  </si>
  <si>
    <t>AGP/CNG/KANCHI/234</t>
  </si>
  <si>
    <t xml:space="preserve">Ashok Kumar </t>
  </si>
  <si>
    <t>TG/CNG/Ludhiana/115</t>
  </si>
  <si>
    <t xml:space="preserve">Santhakumar T </t>
  </si>
  <si>
    <t xml:space="preserve">Sakthivel </t>
  </si>
  <si>
    <t>AGP/CNG/KANCHI/029</t>
  </si>
  <si>
    <t xml:space="preserve">KARAM SINGH YADAV </t>
  </si>
  <si>
    <t>AGP/LNG/590</t>
  </si>
  <si>
    <t xml:space="preserve">Hanamanth Yankanchi </t>
  </si>
  <si>
    <t>AGP/CNG/BKR/59</t>
  </si>
  <si>
    <t xml:space="preserve">Jaswinder Singh 2237 </t>
  </si>
  <si>
    <t>TG/CNG/Ludhiana/070</t>
  </si>
  <si>
    <t xml:space="preserve">BABY JOHN D </t>
  </si>
  <si>
    <t>AGP/CNG/AKT/159</t>
  </si>
  <si>
    <t>RENJITH M R</t>
  </si>
  <si>
    <t>AGP/CNG/AKT/078</t>
  </si>
  <si>
    <t>Manpreet Singh 5639</t>
  </si>
  <si>
    <t>TG/CNG/Ludhiana/056</t>
  </si>
  <si>
    <t>NITHIN G S</t>
  </si>
  <si>
    <t>AGP/LNG/568</t>
  </si>
  <si>
    <t>NL01AK5776</t>
  </si>
  <si>
    <t>Subedar Pal</t>
  </si>
  <si>
    <t>AGP/LNG/467</t>
  </si>
  <si>
    <t>Dharmraj Pal</t>
  </si>
  <si>
    <t>AGP/LNG/576</t>
  </si>
  <si>
    <t xml:space="preserve">Dharmendra Gujrati </t>
  </si>
  <si>
    <t>TG/CNG/Bhopal/029</t>
  </si>
  <si>
    <t xml:space="preserve">Lakhvir singh </t>
  </si>
  <si>
    <t>TG/CNG/Ludhiana/038</t>
  </si>
  <si>
    <t>Nagashetty</t>
  </si>
  <si>
    <t>AGP/CNG/KV/0731</t>
  </si>
  <si>
    <t>Fairoz Y</t>
  </si>
  <si>
    <t>AGP/CNG/VEL/026</t>
  </si>
  <si>
    <t>Bharathiraja P</t>
  </si>
  <si>
    <t>AGP/CNG/KANCHI/219</t>
  </si>
  <si>
    <t xml:space="preserve">Omprakash Kevat </t>
  </si>
  <si>
    <t>TG/CNG/Bhopal/111</t>
  </si>
  <si>
    <t>phusaram</t>
  </si>
  <si>
    <t>AGP/CNG/BJJ/121</t>
  </si>
  <si>
    <t>Suraj singh</t>
  </si>
  <si>
    <t>TG/CNG/Bhopal/097</t>
  </si>
  <si>
    <t>Darshan Singh 8248</t>
  </si>
  <si>
    <t>TG/CNG/Ludhiana/029</t>
  </si>
  <si>
    <t>Manish Solanki</t>
  </si>
  <si>
    <t>TG/CNG/Bhopal/059</t>
  </si>
  <si>
    <t>KOCHI</t>
  </si>
  <si>
    <t>Pinder Singh</t>
  </si>
  <si>
    <t>TG/CNG/Ludhiana/022</t>
  </si>
  <si>
    <t>Dharmendra Gujrati</t>
  </si>
  <si>
    <t>P Pandiyan</t>
  </si>
  <si>
    <t>AGP/CNG/KANCHI/212</t>
  </si>
  <si>
    <t>RAHUL TOMAR</t>
  </si>
  <si>
    <t>TG/CNG/Baghpat/061</t>
  </si>
  <si>
    <t>Jitendra dhangar</t>
  </si>
  <si>
    <t>TG/CNG/Bhopal/091</t>
  </si>
  <si>
    <t>Devendra Yadav</t>
  </si>
  <si>
    <t>AGP/LNG/613</t>
  </si>
  <si>
    <t>NARESH</t>
  </si>
  <si>
    <t>TG/CNG/Baghpat/051</t>
  </si>
  <si>
    <t>BIJU S</t>
  </si>
  <si>
    <t>AGP/CNG/AKT/121</t>
  </si>
  <si>
    <t xml:space="preserve">Mohan Babu </t>
  </si>
  <si>
    <t>ID NOT CREATED</t>
  </si>
  <si>
    <t xml:space="preserve">SUKHWINDER SINGH </t>
  </si>
  <si>
    <t>TG/CNG/Ludhiana/034</t>
  </si>
  <si>
    <t xml:space="preserve">SHIV NARAYAN JAISWAL </t>
  </si>
  <si>
    <t>Dharmendra Kumar</t>
  </si>
  <si>
    <t>AGP/LNG/256</t>
  </si>
  <si>
    <t>Murugesan P</t>
  </si>
  <si>
    <t>AGP/LNG/058</t>
  </si>
  <si>
    <t xml:space="preserve">Mangilal Tomar </t>
  </si>
  <si>
    <t>TG/CNG/Bhopal/060</t>
  </si>
  <si>
    <t>VIKAS</t>
  </si>
  <si>
    <t>TG/CNG/Baghpat/035</t>
  </si>
  <si>
    <t xml:space="preserve">Jalandhar Maurya </t>
  </si>
  <si>
    <t>AGP/LNG/358</t>
  </si>
  <si>
    <t xml:space="preserve">Neeraj Mishra </t>
  </si>
  <si>
    <t>AGP/LNG/559</t>
  </si>
  <si>
    <t xml:space="preserve">RAMANAND PAL </t>
  </si>
  <si>
    <t xml:space="preserve">Bharathiraja P </t>
  </si>
  <si>
    <t>PHUSA RAM</t>
  </si>
  <si>
    <t>Manjunath Sakrannanavar</t>
  </si>
  <si>
    <t>AGP/CNG/UHS/114</t>
  </si>
  <si>
    <t xml:space="preserve">Shanmugam Bodi Reddy </t>
  </si>
  <si>
    <t>TG/CNG/CTR/0866</t>
  </si>
  <si>
    <t>SIBI S</t>
  </si>
  <si>
    <t>AGP/CNG/AKT/144</t>
  </si>
  <si>
    <t xml:space="preserve">SUBEESH BABU </t>
  </si>
  <si>
    <t>PRADEEP Y</t>
  </si>
  <si>
    <t>AGP/CNG/AKT/138</t>
  </si>
  <si>
    <t>Pandiyan R</t>
  </si>
  <si>
    <t>AGP/CNG/VEL/028</t>
  </si>
  <si>
    <t xml:space="preserve">Devendra Yadav </t>
  </si>
  <si>
    <t xml:space="preserve">Mahesh Golla </t>
  </si>
  <si>
    <t>AGP/ANK/CNG/5089</t>
  </si>
  <si>
    <t xml:space="preserve">REJI RAJAN </t>
  </si>
  <si>
    <t>AGP/CNG/AKT/125</t>
  </si>
  <si>
    <t xml:space="preserve">SHARATH BABU RAO SALANKE J B </t>
  </si>
  <si>
    <t>AGP/CNG/MMC/143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</si>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</sst>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b/>
      <sz val="11"/>
      <color rgb="FF000000"/>
      <name val="Calibri"/>
      <family val="2"/>
    </font>
    <font>
      <sz val="10"/>
      <color theme="1"/>
      <name val="Arial Unicode MS"/>
    </font>
    <font>
      <sz val="11"/>
      <color theme="1"/>
      <name val="Calibri"/>
      <family val="2"/>
      <scheme val="minor"/>
    </font>
    <font>
      <b/>
      <sz val="10"/>
      <color rgb="FF000000"/>
      <name val="Calibri"/>
      <family val="2"/>
    </font>
    <font>
      <sz val="10"/>
      <color rgb="FF000000"/>
      <name val="Calibri"/>
      <family val="2"/>
    </font>
    <font>
      <b/>
      <sz val="12"/>
      <color rgb="FF000000"/>
      <name val="Calibri"/>
      <family val="2"/>
    </font>
    <font>
      <b/>
      <sz val="10"/>
      <color theme="1"/>
      <name val="Calibri"/>
      <family val="2"/>
    </font>
    <font>
      <b/>
      <sz val="14"/>
      <color rgb="FF000000"/>
      <name val="Calibri"/>
      <family val="2"/>
    </font>
    <font>
      <b/>
      <sz val="10"/>
      <color theme="0"/>
      <name val="Calibri"/>
      <family val="2"/>
    </font>
    <font>
      <b/>
      <i/>
      <sz val="11"/>
      <color theme="1"/>
      <name val="Calibri"/>
      <family val="2"/>
      <scheme val="minor"/>
    </font>
    <font>
      <b/>
      <i/>
      <sz val="11"/>
      <color theme="0"/>
      <name val="Calibri"/>
      <family val="2"/>
      <scheme val="minor"/>
    </font>
    <font>
      <b/>
      <i/>
      <sz val="20"/>
      <color theme="0"/>
      <name val="Calibri"/>
      <family val="2"/>
      <scheme val="minor"/>
    </font>
    <font>
      <i/>
      <sz val="20"/>
      <color theme="0"/>
      <name val="Calibri"/>
      <family val="2"/>
      <scheme val="minor"/>
    </font>
    <font>
      <sz val="11"/>
      <name val="Calibri"/>
      <family val="2"/>
    </font>
    <font>
      <sz val="10"/>
      <name val="Arial Unicode MS"/>
    </font>
  </fonts>
  <fills count="12">
    <fill>
      <patternFill patternType="none"/>
    </fill>
    <fill>
      <patternFill patternType="gray125"/>
    </fill>
    <fill>
      <patternFill patternType="solid">
        <fgColor rgb="FFFFC000"/>
        <bgColor rgb="FFFFC000"/>
      </patternFill>
    </fill>
    <fill>
      <patternFill patternType="solid">
        <fgColor rgb="FFFFC000"/>
        <bgColor indexed="64"/>
      </patternFill>
    </fill>
    <fill>
      <patternFill patternType="solid">
        <fgColor rgb="FF000000"/>
        <bgColor indexed="64"/>
      </patternFill>
    </fill>
    <fill>
      <patternFill patternType="solid">
        <fgColor theme="4" tint="-0.499984740745262"/>
        <bgColor theme="4" tint="-0.499984740745262"/>
      </patternFill>
    </fill>
    <fill>
      <patternFill patternType="solid">
        <fgColor theme="4" tint="0.59999389629810485"/>
        <bgColor theme="4" tint="0.59999389629810485"/>
      </patternFill>
    </fill>
    <fill>
      <patternFill patternType="solid">
        <fgColor rgb="FF00B050"/>
        <bgColor theme="4" tint="-0.499984740745262"/>
      </patternFill>
    </fill>
    <fill>
      <patternFill patternType="solid">
        <fgColor rgb="FF00B050"/>
        <bgColor indexed="64"/>
      </patternFill>
    </fill>
    <fill>
      <patternFill patternType="solid">
        <fgColor rgb="FFCCFF99"/>
        <bgColor indexed="64"/>
      </patternFill>
    </fill>
    <fill>
      <patternFill patternType="solid">
        <fgColor rgb="FF00B050"/>
        <bgColor rgb="FF00B050"/>
      </patternFill>
    </fill>
    <fill>
      <patternFill patternType="solid">
        <fgColor theme="4" tint="-0.49998474074526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medium">
        <color theme="0"/>
      </left>
      <right style="medium">
        <color theme="0"/>
      </right>
      <top style="medium">
        <color theme="0"/>
      </top>
      <bottom style="medium">
        <color theme="0"/>
      </bottom>
      <diagonal/>
    </border>
    <border>
      <left/>
      <right style="thin">
        <color indexed="64"/>
      </right>
      <top style="thin">
        <color indexed="64"/>
      </top>
      <bottom style="thin">
        <color indexed="64"/>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6" fillId="0" borderId="0" applyFont="0" applyFill="0" applyBorder="0" applyAlignment="0" applyProtection="0"/>
    <xf numFmtId="0" fontId="17" fillId="0" borderId="0"/>
  </cellStyleXfs>
  <cellXfs count="79">
    <xf numFmtId="0" fontId="0" fillId="0" borderId="0" xfId="0"/>
    <xf numFmtId="0" fontId="0" fillId="0" borderId="0" xfId="0" applyNumberFormat="1"/>
    <xf numFmtId="14" fontId="0" fillId="0" borderId="0" xfId="0" applyNumberFormat="1"/>
    <xf numFmtId="0" fontId="0" fillId="0" borderId="0" xfId="0" applyNumberFormat="1" applyBorder="1"/>
    <xf numFmtId="0" fontId="0" fillId="0" borderId="0" xfId="0" applyBorder="1"/>
    <xf numFmtId="0" fontId="0" fillId="0" borderId="0" xfId="0" applyBorder="1" applyAlignment="1">
      <alignment horizontal="center"/>
    </xf>
    <xf numFmtId="14" fontId="0" fillId="0" borderId="0" xfId="0" applyNumberFormat="1" applyBorder="1"/>
    <xf numFmtId="0" fontId="4" fillId="2" borderId="1" xfId="0" applyFont="1" applyFill="1" applyBorder="1" applyAlignment="1">
      <alignment vertical="center"/>
    </xf>
    <xf numFmtId="0" fontId="0" fillId="0" borderId="1" xfId="0" applyBorder="1" applyAlignment="1">
      <alignment vertical="center"/>
    </xf>
    <xf numFmtId="0" fontId="3" fillId="3" borderId="1" xfId="0" applyFont="1" applyFill="1" applyBorder="1" applyAlignment="1">
      <alignment horizontal="center"/>
    </xf>
    <xf numFmtId="14" fontId="3" fillId="3" borderId="1" xfId="0" applyNumberFormat="1" applyFont="1" applyFill="1" applyBorder="1" applyAlignment="1">
      <alignment horizontal="center"/>
    </xf>
    <xf numFmtId="0" fontId="0" fillId="0" borderId="1" xfId="0" applyFill="1" applyBorder="1" applyAlignment="1">
      <alignment vertical="center"/>
    </xf>
    <xf numFmtId="0" fontId="8" fillId="0" borderId="2" xfId="0" applyFont="1" applyBorder="1" applyAlignment="1">
      <alignment horizontal="center" vertical="center"/>
    </xf>
    <xf numFmtId="0" fontId="8" fillId="0" borderId="1" xfId="0" applyFont="1" applyBorder="1" applyAlignment="1">
      <alignment horizontal="center" vertical="center"/>
    </xf>
    <xf numFmtId="1" fontId="8" fillId="0" borderId="1" xfId="0" applyNumberFormat="1" applyFont="1" applyBorder="1" applyAlignment="1">
      <alignment horizontal="center" vertical="center"/>
    </xf>
    <xf numFmtId="2" fontId="9" fillId="0" borderId="1" xfId="0" applyNumberFormat="1" applyFont="1" applyBorder="1" applyAlignment="1">
      <alignment horizontal="center" vertical="center"/>
    </xf>
    <xf numFmtId="0" fontId="7" fillId="0" borderId="1" xfId="0" applyFont="1" applyFill="1" applyBorder="1" applyAlignment="1">
      <alignment horizontal="left" vertical="center"/>
    </xf>
    <xf numFmtId="0" fontId="0" fillId="0" borderId="1" xfId="0" applyBorder="1" applyAlignment="1">
      <alignment horizontal="center" vertical="center"/>
    </xf>
    <xf numFmtId="0" fontId="10" fillId="0" borderId="1" xfId="0" applyFont="1" applyFill="1" applyBorder="1" applyAlignment="1">
      <alignment horizontal="left" vertical="center"/>
    </xf>
    <xf numFmtId="0" fontId="0" fillId="0" borderId="2" xfId="0" applyBorder="1" applyAlignment="1">
      <alignment vertical="center"/>
    </xf>
    <xf numFmtId="9" fontId="12" fillId="4" borderId="4" xfId="1" applyFont="1" applyFill="1" applyBorder="1" applyAlignment="1">
      <alignment horizontal="center" vertical="center"/>
    </xf>
    <xf numFmtId="0" fontId="7" fillId="0" borderId="2" xfId="0" applyFont="1" applyFill="1" applyBorder="1" applyAlignment="1">
      <alignment horizontal="left" vertical="center"/>
    </xf>
    <xf numFmtId="0" fontId="12" fillId="4" borderId="4" xfId="0" applyFont="1" applyFill="1" applyBorder="1" applyAlignment="1">
      <alignment horizontal="center" vertical="center"/>
    </xf>
    <xf numFmtId="0" fontId="0" fillId="0" borderId="2" xfId="0" applyBorder="1" applyAlignment="1">
      <alignment horizontal="center" vertical="center"/>
    </xf>
    <xf numFmtId="14" fontId="12" fillId="4" borderId="4"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7" fontId="12" fillId="4" borderId="4" xfId="0" applyNumberFormat="1" applyFont="1" applyFill="1" applyBorder="1" applyAlignment="1">
      <alignment horizontal="center" vertical="center"/>
    </xf>
    <xf numFmtId="2" fontId="9" fillId="0" borderId="2" xfId="0" applyNumberFormat="1" applyFont="1" applyBorder="1" applyAlignment="1">
      <alignment horizontal="center" vertical="center"/>
    </xf>
    <xf numFmtId="0" fontId="0" fillId="0" borderId="3" xfId="0" applyBorder="1" applyAlignment="1">
      <alignment vertical="center"/>
    </xf>
    <xf numFmtId="0" fontId="7" fillId="0" borderId="3" xfId="0" applyFont="1" applyFill="1" applyBorder="1" applyAlignment="1">
      <alignment horizontal="left" vertical="center"/>
    </xf>
    <xf numFmtId="0" fontId="0" fillId="0" borderId="3" xfId="0" applyBorder="1" applyAlignment="1">
      <alignment horizontal="center" vertical="center"/>
    </xf>
    <xf numFmtId="1" fontId="12" fillId="4" borderId="4" xfId="1" applyNumberFormat="1" applyFont="1" applyFill="1" applyBorder="1" applyAlignment="1">
      <alignment horizontal="center" vertical="center"/>
    </xf>
    <xf numFmtId="0" fontId="8" fillId="0" borderId="3" xfId="0" applyFont="1" applyBorder="1" applyAlignment="1">
      <alignment horizontal="center" vertical="center"/>
    </xf>
    <xf numFmtId="2" fontId="11" fillId="0" borderId="5" xfId="0" applyNumberFormat="1" applyFont="1" applyBorder="1" applyAlignment="1">
      <alignment horizontal="center" vertical="center"/>
    </xf>
    <xf numFmtId="1" fontId="8" fillId="0" borderId="3" xfId="0" applyNumberFormat="1" applyFont="1" applyBorder="1" applyAlignment="1">
      <alignment horizontal="center" vertical="center"/>
    </xf>
    <xf numFmtId="2" fontId="0" fillId="0" borderId="0" xfId="0" applyNumberFormat="1"/>
    <xf numFmtId="9" fontId="12" fillId="4" borderId="6" xfId="1" applyFont="1" applyFill="1" applyBorder="1" applyAlignment="1">
      <alignment vertical="center"/>
    </xf>
    <xf numFmtId="9" fontId="12" fillId="4" borderId="7" xfId="1" applyFont="1" applyFill="1" applyBorder="1" applyAlignment="1">
      <alignment vertical="center"/>
    </xf>
    <xf numFmtId="0" fontId="13" fillId="0" borderId="1" xfId="0" applyFont="1" applyBorder="1" applyAlignment="1">
      <alignment horizontal="left"/>
    </xf>
    <xf numFmtId="2" fontId="13" fillId="0" borderId="1" xfId="0" applyNumberFormat="1" applyFont="1" applyBorder="1"/>
    <xf numFmtId="2" fontId="13" fillId="6" borderId="1" xfId="0" applyNumberFormat="1" applyFont="1" applyFill="1" applyBorder="1"/>
    <xf numFmtId="2" fontId="13" fillId="0" borderId="0" xfId="0" applyNumberFormat="1" applyFont="1" applyFill="1" applyBorder="1"/>
    <xf numFmtId="2" fontId="13" fillId="6" borderId="1" xfId="0" applyNumberFormat="1" applyFont="1" applyFill="1" applyBorder="1" applyAlignment="1">
      <alignment horizontal="left"/>
    </xf>
    <xf numFmtId="0" fontId="14" fillId="8" borderId="1" xfId="0" applyFont="1" applyFill="1" applyBorder="1"/>
    <xf numFmtId="0" fontId="13" fillId="0" borderId="0" xfId="0" applyFont="1"/>
    <xf numFmtId="0" fontId="0" fillId="0" borderId="1" xfId="0" pivotButton="1" applyFont="1" applyBorder="1"/>
    <xf numFmtId="0" fontId="0" fillId="0" borderId="1" xfId="0" applyFont="1" applyBorder="1"/>
    <xf numFmtId="2" fontId="0" fillId="0" borderId="0" xfId="0" applyNumberFormat="1" applyFont="1" applyBorder="1"/>
    <xf numFmtId="0" fontId="0" fillId="0" borderId="0" xfId="0" applyFont="1"/>
    <xf numFmtId="0" fontId="0" fillId="0" borderId="1" xfId="0" applyFont="1" applyBorder="1" applyAlignment="1">
      <alignment horizontal="left"/>
    </xf>
    <xf numFmtId="2" fontId="0" fillId="0" borderId="1" xfId="0" applyNumberFormat="1" applyFont="1" applyBorder="1"/>
    <xf numFmtId="0" fontId="13" fillId="9" borderId="1" xfId="0" applyFont="1" applyFill="1" applyBorder="1" applyAlignment="1">
      <alignment horizontal="left"/>
    </xf>
    <xf numFmtId="2" fontId="13" fillId="9" borderId="1" xfId="0" applyNumberFormat="1" applyFont="1" applyFill="1" applyBorder="1"/>
    <xf numFmtId="2" fontId="14" fillId="10" borderId="1" xfId="0" applyNumberFormat="1" applyFont="1" applyFill="1" applyBorder="1" applyAlignment="1"/>
    <xf numFmtId="0" fontId="14" fillId="10" borderId="1" xfId="0" applyFont="1" applyFill="1" applyBorder="1" applyAlignment="1"/>
    <xf numFmtId="0" fontId="13" fillId="9" borderId="5" xfId="0" applyFont="1" applyFill="1" applyBorder="1"/>
    <xf numFmtId="2" fontId="13" fillId="9" borderId="1" xfId="0" applyNumberFormat="1" applyFont="1" applyFill="1" applyBorder="1" applyAlignment="1">
      <alignment horizontal="left"/>
    </xf>
    <xf numFmtId="0" fontId="13" fillId="9" borderId="1" xfId="0" applyFont="1" applyFill="1" applyBorder="1"/>
    <xf numFmtId="0" fontId="5" fillId="0" borderId="1" xfId="0" applyFont="1" applyBorder="1" applyAlignment="1">
      <alignment horizontal="center" vertical="center"/>
    </xf>
    <xf numFmtId="0" fontId="0" fillId="0" borderId="1" xfId="0" applyFill="1" applyBorder="1" applyAlignment="1">
      <alignment horizontal="center" vertical="center"/>
    </xf>
    <xf numFmtId="2" fontId="0" fillId="9" borderId="1" xfId="0" applyNumberFormat="1" applyFill="1" applyBorder="1"/>
    <xf numFmtId="0" fontId="13" fillId="0" borderId="1" xfId="0" applyFont="1" applyBorder="1" applyAlignment="1">
      <alignment horizontal="left" vertical="center"/>
    </xf>
    <xf numFmtId="0" fontId="13" fillId="9" borderId="1" xfId="0" applyFont="1" applyFill="1" applyBorder="1" applyAlignment="1">
      <alignment horizontal="left" vertical="center"/>
    </xf>
    <xf numFmtId="2" fontId="13" fillId="9" borderId="1" xfId="0" applyNumberFormat="1" applyFont="1" applyFill="1" applyBorder="1" applyAlignment="1">
      <alignment horizontal="right" vertical="center"/>
    </xf>
    <xf numFmtId="2" fontId="13" fillId="0" borderId="1" xfId="0" applyNumberFormat="1" applyFont="1" applyBorder="1" applyAlignment="1">
      <alignment horizontal="right" vertical="center"/>
    </xf>
    <xf numFmtId="2" fontId="13" fillId="6" borderId="3" xfId="0" applyNumberFormat="1" applyFont="1" applyFill="1" applyBorder="1" applyAlignment="1">
      <alignment horizontal="left" vertical="center"/>
    </xf>
    <xf numFmtId="0" fontId="13" fillId="9" borderId="1" xfId="0" applyFont="1" applyFill="1" applyBorder="1" applyAlignment="1">
      <alignment horizontal="left" vertical="center" wrapText="1"/>
    </xf>
    <xf numFmtId="0" fontId="0" fillId="0" borderId="0" xfId="0" applyAlignment="1">
      <alignment horizontal="center"/>
    </xf>
    <xf numFmtId="0" fontId="17" fillId="0" borderId="0" xfId="2" applyNumberFormat="1" applyBorder="1" applyAlignment="1">
      <alignment horizontal="left"/>
    </xf>
    <xf numFmtId="0" fontId="14" fillId="7" borderId="8" xfId="0" applyFont="1" applyFill="1" applyBorder="1" applyAlignment="1">
      <alignment horizontal="center"/>
    </xf>
    <xf numFmtId="0" fontId="14" fillId="7" borderId="5" xfId="0" applyFont="1" applyFill="1" applyBorder="1" applyAlignment="1">
      <alignment horizontal="center"/>
    </xf>
    <xf numFmtId="0" fontId="2" fillId="5" borderId="10" xfId="0" applyFont="1" applyFill="1" applyBorder="1" applyAlignment="1">
      <alignment horizontal="center"/>
    </xf>
    <xf numFmtId="0" fontId="2" fillId="5" borderId="11" xfId="0" applyFont="1" applyFill="1" applyBorder="1" applyAlignment="1">
      <alignment horizontal="center"/>
    </xf>
    <xf numFmtId="0" fontId="15" fillId="11" borderId="0" xfId="0" applyFont="1" applyFill="1" applyAlignment="1">
      <alignment horizontal="center" vertical="center"/>
    </xf>
    <xf numFmtId="0" fontId="16" fillId="11" borderId="0" xfId="0" applyFont="1" applyFill="1" applyAlignment="1">
      <alignment horizontal="center" vertical="center"/>
    </xf>
    <xf numFmtId="0" fontId="15" fillId="8" borderId="0" xfId="0" applyFont="1" applyFill="1" applyAlignment="1">
      <alignment horizontal="center" vertical="center"/>
    </xf>
    <xf numFmtId="0" fontId="16" fillId="8" borderId="0" xfId="0" applyFont="1" applyFill="1" applyAlignment="1">
      <alignment horizontal="center" vertical="center"/>
    </xf>
    <xf numFmtId="0" fontId="16" fillId="8" borderId="9" xfId="0" applyFont="1" applyFill="1" applyBorder="1" applyAlignment="1">
      <alignment horizontal="center" vertical="center"/>
    </xf>
    <xf numFmtId="0" fontId="18" fillId="0" borderId="1" xfId="0" applyFont="1" applyFill="1" applyBorder="1" applyAlignment="1">
      <alignment horizontal="center" vertical="center"/>
    </xf>
  </cellXfs>
  <cellStyles count="3">
    <cellStyle name="Normal" xfId="0" builtinId="0"/>
    <cellStyle name="Normal 2" xfId="2" xr:uid="{433B40FD-809D-4F8C-BDFE-68006C9E3238}"/>
    <cellStyle name="Percent" xfId="1" builtinId="5"/>
  </cellStyles>
  <dxfs count="162">
    <dxf>
      <alignment vertical="center"/>
    </dxf>
    <dxf>
      <alignment horizontal="left"/>
    </dxf>
    <dxf>
      <font>
        <b/>
        <i/>
      </font>
      <fill>
        <patternFill>
          <fgColor rgb="FFCCFF99"/>
        </patternFill>
      </fill>
      <alignment horizontal="general" vertical="bottom" textRotation="0" wrapText="0" indent="0" justifyLastLine="0" shrinkToFit="0" readingOrder="0"/>
    </dxf>
    <dxf>
      <fill>
        <patternFill>
          <bgColor rgb="FF92D050"/>
        </patternFill>
      </fill>
    </dxf>
    <dxf>
      <fill>
        <patternFill patternType="solid">
          <bgColor rgb="FF00B050"/>
        </patternFill>
      </fill>
    </dxf>
    <dxf>
      <fill>
        <patternFill patternType="solid">
          <bgColor rgb="FF00B050"/>
        </patternFill>
      </fill>
    </dxf>
    <dxf>
      <font>
        <color theme="0"/>
      </font>
    </dxf>
    <dxf>
      <font>
        <color theme="0"/>
      </font>
    </dxf>
    <dxf>
      <fill>
        <patternFill patternType="solid">
          <bgColor rgb="FF00B050"/>
        </patternFill>
      </fill>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b/>
      </font>
    </dxf>
    <dxf>
      <font>
        <b/>
      </font>
    </dxf>
    <dxf>
      <font>
        <b/>
      </font>
    </dxf>
    <dxf>
      <font>
        <b/>
      </font>
    </dxf>
    <dxf>
      <font>
        <i/>
      </font>
    </dxf>
    <dxf>
      <font>
        <i/>
      </font>
    </dxf>
    <dxf>
      <font>
        <i/>
      </font>
    </dxf>
    <dxf>
      <font>
        <i/>
      </font>
    </dxf>
    <dxf>
      <border>
        <horizontal style="thin">
          <color indexed="64"/>
        </horizontal>
      </border>
    </dxf>
    <dxf>
      <border>
        <horizontal style="thin">
          <color indexed="64"/>
        </horizontal>
      </border>
    </dxf>
    <dxf>
      <font>
        <b/>
      </font>
    </dxf>
    <dxf>
      <font>
        <b/>
      </font>
    </dxf>
    <dxf>
      <font>
        <i/>
      </font>
    </dxf>
    <dxf>
      <font>
        <i/>
      </font>
    </dxf>
    <dxf>
      <fill>
        <patternFill>
          <bgColor rgb="FFCCFF99"/>
        </patternFill>
      </fill>
    </dxf>
    <dxf>
      <fill>
        <patternFill>
          <bgColor rgb="FFCCFF99"/>
        </patternFill>
      </fill>
    </dxf>
    <dxf>
      <fill>
        <patternFill>
          <bgColor rgb="FFCCFF99"/>
        </patternFill>
      </fill>
    </dxf>
    <dxf>
      <font>
        <b/>
        <i/>
      </font>
      <fill>
        <patternFill>
          <fgColor rgb="FF00B050"/>
        </patternFill>
      </fill>
      <alignment horizontal="general" vertical="bottom" textRotation="0" wrapText="0" indent="0" justifyLastLine="0" shrinkToFit="0" readingOrder="0"/>
    </dxf>
    <dxf>
      <font>
        <b/>
        <i/>
      </font>
      <fill>
        <patternFill>
          <fgColor rgb="FF00B050"/>
        </patternFill>
      </fill>
      <alignment horizontal="general" vertical="bottom" textRotation="0" wrapText="0" indent="0" justifyLastLine="0" shrinkToFit="0" readingOrder="0"/>
    </dxf>
    <dxf>
      <numFmt numFmtId="2" formatCode="0.00"/>
    </dxf>
    <dxf>
      <fill>
        <patternFill>
          <bgColor rgb="FF00B050"/>
        </patternFill>
      </fill>
    </dxf>
    <dxf>
      <fill>
        <patternFill>
          <bgColor rgb="FF00B050"/>
        </patternFill>
      </fill>
    </dxf>
    <dxf>
      <alignment vertical="center"/>
    </dxf>
    <dxf>
      <alignment vertical="center"/>
    </dxf>
    <dxf>
      <alignment horizontal="left"/>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i/>
      </font>
    </dxf>
    <dxf>
      <font>
        <i/>
      </font>
    </dxf>
    <dxf>
      <font>
        <sz val="11"/>
      </font>
    </dxf>
    <dxf>
      <font>
        <sz val="11"/>
      </font>
    </dxf>
    <dxf>
      <font>
        <sz val="11"/>
      </font>
    </dxf>
    <dxf>
      <font>
        <sz val="11"/>
      </font>
    </dxf>
    <dxf>
      <font>
        <sz val="11"/>
      </font>
    </dxf>
    <dxf>
      <font>
        <sz val="11"/>
      </font>
    </dxf>
    <dxf>
      <alignment vertical="center"/>
    </dxf>
    <dxf>
      <alignment vertical="center"/>
    </dxf>
    <dxf>
      <alignment horizontal="left"/>
    </dxf>
    <dxf>
      <alignment horizontal="right"/>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alignment horizontal="right"/>
    </dxf>
    <dxf>
      <alignment horizontal="left"/>
    </dxf>
    <dxf>
      <alignment vertical="center"/>
    </dxf>
    <dxf>
      <alignment vertical="center"/>
    </dxf>
    <dxf>
      <font>
        <sz val="11"/>
      </font>
    </dxf>
    <dxf>
      <font>
        <sz val="11"/>
      </font>
    </dxf>
    <dxf>
      <font>
        <sz val="11"/>
      </font>
    </dxf>
    <dxf>
      <font>
        <sz val="11"/>
      </font>
    </dxf>
    <dxf>
      <font>
        <sz val="11"/>
      </font>
    </dxf>
    <dxf>
      <font>
        <sz val="11"/>
      </font>
    </dxf>
    <dxf>
      <font>
        <i/>
      </font>
    </dxf>
    <dxf>
      <font>
        <i/>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vertical="center"/>
    </dxf>
    <dxf>
      <fill>
        <patternFill>
          <bgColor rgb="FF00B050"/>
        </patternFill>
      </fill>
    </dxf>
    <dxf>
      <fill>
        <patternFill>
          <bgColor rgb="FF00B050"/>
        </patternFill>
      </fill>
    </dxf>
    <dxf>
      <numFmt numFmtId="2" formatCode="0.00"/>
    </dxf>
    <dxf>
      <font>
        <b/>
        <i/>
      </font>
      <fill>
        <patternFill>
          <fgColor rgb="FF00B050"/>
        </patternFill>
      </fill>
      <alignment horizontal="general" vertical="bottom" textRotation="0" wrapText="0" indent="0" justifyLastLine="0" shrinkToFit="0" readingOrder="0"/>
    </dxf>
    <dxf>
      <font>
        <b/>
        <i/>
      </font>
      <fill>
        <patternFill>
          <fgColor rgb="FF00B050"/>
        </patternFill>
      </fill>
      <alignment horizontal="general" vertical="bottom" textRotation="0" wrapText="0" indent="0" justifyLastLine="0" shrinkToFit="0" readingOrder="0"/>
    </dxf>
    <dxf>
      <fill>
        <patternFill>
          <bgColor rgb="FFCCFF99"/>
        </patternFill>
      </fill>
    </dxf>
    <dxf>
      <fill>
        <patternFill>
          <bgColor rgb="FFCCFF99"/>
        </patternFill>
      </fill>
    </dxf>
    <dxf>
      <fill>
        <patternFill>
          <bgColor rgb="FFCCFF99"/>
        </patternFill>
      </fill>
    </dxf>
    <dxf>
      <font>
        <i/>
      </font>
    </dxf>
    <dxf>
      <font>
        <i/>
      </font>
    </dxf>
    <dxf>
      <font>
        <b/>
      </font>
    </dxf>
    <dxf>
      <font>
        <b/>
      </font>
    </dxf>
    <dxf>
      <border>
        <horizontal style="thin">
          <color indexed="64"/>
        </horizontal>
      </border>
    </dxf>
    <dxf>
      <border>
        <horizontal style="thin">
          <color indexed="64"/>
        </horizontal>
      </border>
    </dxf>
    <dxf>
      <font>
        <i/>
      </font>
    </dxf>
    <dxf>
      <font>
        <i/>
      </font>
    </dxf>
    <dxf>
      <font>
        <i/>
      </font>
    </dxf>
    <dxf>
      <font>
        <i/>
      </font>
    </dxf>
    <dxf>
      <font>
        <b/>
      </font>
    </dxf>
    <dxf>
      <font>
        <b/>
      </font>
    </dxf>
    <dxf>
      <font>
        <b/>
      </font>
    </dxf>
    <dxf>
      <font>
        <b/>
      </font>
    </dxf>
    <dxf>
      <font>
        <color theme="0"/>
      </font>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00B050"/>
        </patternFill>
      </fill>
    </dxf>
    <dxf>
      <font>
        <color theme="0"/>
      </font>
    </dxf>
    <dxf>
      <font>
        <color theme="0"/>
      </font>
    </dxf>
    <dxf>
      <fill>
        <patternFill patternType="solid">
          <bgColor rgb="FF00B050"/>
        </patternFill>
      </fill>
    </dxf>
    <dxf>
      <fill>
        <patternFill patternType="solid">
          <bgColor rgb="FF00B050"/>
        </patternFill>
      </fill>
    </dxf>
  </dxfs>
  <tableStyles count="0" defaultTableStyle="TableStyleMedium2" defaultPivotStyle="PivotStyleLight16"/>
  <colors>
    <mruColors>
      <color rgb="FFCCFF99"/>
      <color rgb="FF24B8E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[Formula sheet.xlsx]Mail Summ2!PivotTable1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 Violations Contributor </a:t>
            </a:r>
          </a:p>
        </c:rich>
      </c:tx>
      <c:layout>
        <c:manualLayout>
          <c:xMode val="edge"/>
          <c:yMode val="edge"/>
          <c:x val="0.24110442316125866"/>
          <c:y val="0.1546437658419295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'Mail Summ2'!$B$3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'Mail Summ2'!$A$4:$A$15</c:f>
              <c:strCache>
                <c:ptCount val="11"/>
                <c:pt idx="0">
                  <c:v>Kolar</c:v>
                </c:pt>
                <c:pt idx="1">
                  <c:v>AKT</c:v>
                </c:pt>
                <c:pt idx="2">
                  <c:v>Hazira</c:v>
                </c:pt>
                <c:pt idx="3">
                  <c:v>Kochi</c:v>
                </c:pt>
                <c:pt idx="4">
                  <c:v>Ennore</c:v>
                </c:pt>
                <c:pt idx="5">
                  <c:v>Dahej</c:v>
                </c:pt>
                <c:pt idx="6">
                  <c:v>ANK</c:v>
                </c:pt>
                <c:pt idx="7">
                  <c:v>Jalandhar</c:v>
                </c:pt>
                <c:pt idx="8">
                  <c:v>Bhopal</c:v>
                </c:pt>
                <c:pt idx="9">
                  <c:v>KNCP</c:v>
                </c:pt>
                <c:pt idx="10">
                  <c:v>Vellore</c:v>
                </c:pt>
              </c:strCache>
            </c:strRef>
          </c:cat>
          <c:val>
            <c:numRef>
              <c:f>'Mail Summ2'!$B$4:$B$15</c:f>
              <c:numCache>
                <c:formatCode>0.00</c:formatCode>
                <c:ptCount val="11"/>
                <c:pt idx="0">
                  <c:v>0.14705882352941177</c:v>
                </c:pt>
                <c:pt idx="1">
                  <c:v>5.8823529411764705E-2</c:v>
                </c:pt>
                <c:pt idx="2">
                  <c:v>5.8823529411764705E-2</c:v>
                </c:pt>
                <c:pt idx="3">
                  <c:v>5.2631578947368418E-2</c:v>
                </c:pt>
                <c:pt idx="4">
                  <c:v>4.3478260869565216E-2</c:v>
                </c:pt>
                <c:pt idx="5">
                  <c:v>3.0588235294117649E-2</c:v>
                </c:pt>
                <c:pt idx="6">
                  <c:v>2.6737967914438502E-2</c:v>
                </c:pt>
                <c:pt idx="7">
                  <c:v>2.1116138763197588E-2</c:v>
                </c:pt>
                <c:pt idx="8">
                  <c:v>1.871657754010695E-2</c:v>
                </c:pt>
                <c:pt idx="9">
                  <c:v>1.8255578093306288E-2</c:v>
                </c:pt>
                <c:pt idx="10">
                  <c:v>1.3574660633484163E-2</c:v>
                </c:pt>
              </c:numCache>
            </c:numRef>
          </c:val>
          <c:extLst>
            <c:ext xmlns:c16="http://schemas.microsoft.com/office/drawing/2014/chart" uri="{C3380CC4-5D6E-409C-BE32-E72D297353CC}">
              <c16:uniqueId val="{00000000-7E96-4263-B22B-6749362A64E6}"/>
            </c:ext>
          </c:extLst>
        </c:ser>
        <c:dLbls>
          <c:showLegendKey val="0"/>
          <c:showVal val="1"/>
          <c:showCatName val="0"/>
          <c:showSerName val="0"/>
          <c:showPercent val="0"/>
          <c:showBubbleSize val="0"/>
        </c:dLbls>
        <c:gapWidth val="150"/>
        <c:shape val="box"/>
        <c:axId val="1453858783"/>
        <c:axId val="1453859263"/>
        <c:axId val="0"/>
      </c:bar3DChart>
      <c:catAx>
        <c:axId val="1453858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859263"/>
        <c:crosses val="autoZero"/>
        <c:auto val="1"/>
        <c:lblAlgn val="ctr"/>
        <c:lblOffset val="100"/>
        <c:noMultiLvlLbl val="0"/>
      </c:catAx>
      <c:valAx>
        <c:axId val="1453859263"/>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85878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[Formula sheet.xlsx]Mail Summ2!PivotTable2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a:t>
            </a:r>
            <a:r>
              <a:rPr lang="en-US" baseline="0"/>
              <a:t> Performer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00B05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'Mail Summ2'!$F$3</c:f>
              <c:strCache>
                <c:ptCount val="1"/>
                <c:pt idx="0">
                  <c:v>Total</c:v>
                </c:pt>
              </c:strCache>
            </c:strRef>
          </c:tx>
          <c:spPr>
            <a:solidFill>
              <a:srgbClr val="00B05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'Mail Summ2'!$E$4:$E$15</c:f>
              <c:strCache>
                <c:ptCount val="11"/>
                <c:pt idx="0">
                  <c:v>Chittoor</c:v>
                </c:pt>
                <c:pt idx="1">
                  <c:v>Begusarai</c:v>
                </c:pt>
                <c:pt idx="2">
                  <c:v>RMN</c:v>
                </c:pt>
                <c:pt idx="3">
                  <c:v>UHS</c:v>
                </c:pt>
                <c:pt idx="4">
                  <c:v>BKR</c:v>
                </c:pt>
                <c:pt idx="5">
                  <c:v>Nellore</c:v>
                </c:pt>
                <c:pt idx="6">
                  <c:v>KNV</c:v>
                </c:pt>
                <c:pt idx="7">
                  <c:v>MMC</c:v>
                </c:pt>
                <c:pt idx="8">
                  <c:v>CHK</c:v>
                </c:pt>
                <c:pt idx="9">
                  <c:v>Baghpat</c:v>
                </c:pt>
                <c:pt idx="10">
                  <c:v>BJJ</c:v>
                </c:pt>
              </c:strCache>
            </c:strRef>
          </c:cat>
          <c:val>
            <c:numRef>
              <c:f>'Mail Summ2'!$F$4:$F$15</c:f>
              <c:numCache>
                <c:formatCode>0.00</c:formatCode>
                <c:ptCount val="11"/>
                <c:pt idx="0">
                  <c:v>0</c:v>
                </c:pt>
                <c:pt idx="1">
                  <c:v>0</c:v>
                </c:pt>
                <c:pt idx="2">
                  <c:v>0</c:v>
                </c:pt>
                <c:pt idx="3">
                  <c:v>2.4509803921568627E-3</c:v>
                </c:pt>
                <c:pt idx="4">
                  <c:v>5.3475935828877011E-3</c:v>
                </c:pt>
                <c:pt idx="5">
                  <c:v>5.3475935828877011E-3</c:v>
                </c:pt>
                <c:pt idx="6">
                  <c:v>6.5359477124183E-3</c:v>
                </c:pt>
                <c:pt idx="7">
                  <c:v>7.8431372549019607E-3</c:v>
                </c:pt>
                <c:pt idx="8">
                  <c:v>9.0497737556561094E-3</c:v>
                </c:pt>
                <c:pt idx="9">
                  <c:v>1.1764705882352941E-2</c:v>
                </c:pt>
                <c:pt idx="10">
                  <c:v>1.2687427912341408E-2</c:v>
                </c:pt>
              </c:numCache>
            </c:numRef>
          </c:val>
          <c:extLst>
            <c:ext xmlns:c16="http://schemas.microsoft.com/office/drawing/2014/chart" uri="{C3380CC4-5D6E-409C-BE32-E72D297353CC}">
              <c16:uniqueId val="{00000000-346B-47DE-892F-8EF0AE7F1AE3}"/>
            </c:ext>
          </c:extLst>
        </c:ser>
        <c:dLbls>
          <c:showLegendKey val="0"/>
          <c:showVal val="1"/>
          <c:showCatName val="0"/>
          <c:showSerName val="0"/>
          <c:showPercent val="0"/>
          <c:showBubbleSize val="0"/>
        </c:dLbls>
        <c:gapWidth val="150"/>
        <c:shape val="box"/>
        <c:axId val="1247998831"/>
        <c:axId val="1247996431"/>
        <c:axId val="0"/>
      </c:bar3DChart>
      <c:catAx>
        <c:axId val="1247998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7996431"/>
        <c:crosses val="autoZero"/>
        <c:auto val="1"/>
        <c:lblAlgn val="ctr"/>
        <c:lblOffset val="100"/>
        <c:noMultiLvlLbl val="0"/>
      </c:catAx>
      <c:valAx>
        <c:axId val="1247996431"/>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799883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xdr:colOff>
      <xdr:row>15</xdr:row>
      <xdr:rowOff>40821</xdr:rowOff>
    </xdr:from>
    <xdr:to>
      <xdr:col>4</xdr:col>
      <xdr:colOff>0</xdr:colOff>
      <xdr:row>26</xdr:row>
      <xdr:rowOff>117929</xdr:rowOff>
    </xdr:to>
    <xdr:graphicFrame macro="">
      <xdr:nvGraphicFramePr>
        <xdr:cNvPr id="3" name="Chart 2">
          <a:extLst>
            <a:ext uri="{FF2B5EF4-FFF2-40B4-BE49-F238E27FC236}">
              <a16:creationId xmlns:a16="http://schemas.microsoft.com/office/drawing/2014/main" id="{4B88823C-D544-88FD-61FC-7D92757B1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9072</xdr:colOff>
      <xdr:row>7</xdr:row>
      <xdr:rowOff>9073</xdr:rowOff>
    </xdr:from>
    <xdr:to>
      <xdr:col>3</xdr:col>
      <xdr:colOff>2721428</xdr:colOff>
      <xdr:row>15</xdr:row>
      <xdr:rowOff>18144</xdr:rowOff>
    </xdr:to>
    <mc:AlternateContent xmlns:mc="http://schemas.openxmlformats.org/markup-compatibility/2006" xmlns:a14="http://schemas.microsoft.com/office/drawing/2010/main">
      <mc:Choice Requires="a14">
        <xdr:graphicFrame macro="">
          <xdr:nvGraphicFramePr>
            <xdr:cNvPr id="7" name="Violations/Vehicle/Day 1">
              <a:extLst>
                <a:ext uri="{FF2B5EF4-FFF2-40B4-BE49-F238E27FC236}">
                  <a16:creationId xmlns:a16="http://schemas.microsoft.com/office/drawing/2014/main" id="{D52C19AB-9814-E37D-C321-78DD70B9E87C}"/>
                </a:ext>
              </a:extLst>
            </xdr:cNvPr>
            <xdr:cNvGraphicFramePr/>
          </xdr:nvGraphicFramePr>
          <xdr:xfrm>
            <a:off x="0" y="0"/>
            <a:ext cx="0" cy="0"/>
          </xdr:xfrm>
          <a:graphic>
            <a:graphicData uri="http://schemas.microsoft.com/office/drawing/2010/slicer">
              <sle:slicer xmlns:sle="http://schemas.microsoft.com/office/drawing/2010/slicer" name="Violations/Vehicle/Day 1"/>
            </a:graphicData>
          </a:graphic>
        </xdr:graphicFrame>
      </mc:Choice>
      <mc:Fallback xmlns="">
        <xdr:sp macro="" textlink="">
          <xdr:nvSpPr>
            <xdr:cNvPr id="0" name=""/>
            <xdr:cNvSpPr>
              <a:spLocks noTextEdit="1"/>
            </xdr:cNvSpPr>
          </xdr:nvSpPr>
          <xdr:spPr>
            <a:xfrm>
              <a:off x="2984501" y="1279073"/>
              <a:ext cx="451757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22679</xdr:colOff>
      <xdr:row>7</xdr:row>
      <xdr:rowOff>33565</xdr:rowOff>
    </xdr:from>
    <xdr:to>
      <xdr:col>7</xdr:col>
      <xdr:colOff>5560785</xdr:colOff>
      <xdr:row>14</xdr:row>
      <xdr:rowOff>172356</xdr:rowOff>
    </xdr:to>
    <mc:AlternateContent xmlns:mc="http://schemas.openxmlformats.org/markup-compatibility/2006" xmlns:a14="http://schemas.microsoft.com/office/drawing/2010/main">
      <mc:Choice Requires="a14">
        <xdr:graphicFrame macro="">
          <xdr:nvGraphicFramePr>
            <xdr:cNvPr id="11" name="Violations/Vehicle/Day">
              <a:extLst>
                <a:ext uri="{FF2B5EF4-FFF2-40B4-BE49-F238E27FC236}">
                  <a16:creationId xmlns:a16="http://schemas.microsoft.com/office/drawing/2014/main" id="{B6A2DC76-B765-34BB-DC0C-E27E6BE978D0}"/>
                </a:ext>
              </a:extLst>
            </xdr:cNvPr>
            <xdr:cNvGraphicFramePr/>
          </xdr:nvGraphicFramePr>
          <xdr:xfrm>
            <a:off x="0" y="0"/>
            <a:ext cx="0" cy="0"/>
          </xdr:xfrm>
          <a:graphic>
            <a:graphicData uri="http://schemas.microsoft.com/office/drawing/2010/slicer">
              <sle:slicer xmlns:sle="http://schemas.microsoft.com/office/drawing/2010/slicer" name="Violations/Vehicle/Day"/>
            </a:graphicData>
          </a:graphic>
        </xdr:graphicFrame>
      </mc:Choice>
      <mc:Fallback xmlns="">
        <xdr:sp macro="" textlink="">
          <xdr:nvSpPr>
            <xdr:cNvPr id="0" name=""/>
            <xdr:cNvSpPr>
              <a:spLocks noTextEdit="1"/>
            </xdr:cNvSpPr>
          </xdr:nvSpPr>
          <xdr:spPr>
            <a:xfrm>
              <a:off x="10082893" y="1303565"/>
              <a:ext cx="6372678" cy="1408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9072</xdr:colOff>
      <xdr:row>15</xdr:row>
      <xdr:rowOff>1</xdr:rowOff>
    </xdr:from>
    <xdr:to>
      <xdr:col>7</xdr:col>
      <xdr:colOff>5551715</xdr:colOff>
      <xdr:row>26</xdr:row>
      <xdr:rowOff>136071</xdr:rowOff>
    </xdr:to>
    <xdr:graphicFrame macro="">
      <xdr:nvGraphicFramePr>
        <xdr:cNvPr id="13" name="Chart 12">
          <a:extLst>
            <a:ext uri="{FF2B5EF4-FFF2-40B4-BE49-F238E27FC236}">
              <a16:creationId xmlns:a16="http://schemas.microsoft.com/office/drawing/2014/main" id="{73143CCD-E968-E335-112A-8F886E4ED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YAM" refreshedDate="46099.773474884256" createdVersion="8" refreshedVersion="8" minRefreshableVersion="3" recordCount="22" xr:uid="{DC142E52-A6A2-435C-9801-3B6CDDDD841B}">
  <cacheSource type="worksheet">
    <worksheetSource ref="A1:I23" sheet="Mail Summ"/>
  </cacheSource>
  <cacheFields count="9">
    <cacheField name="GA" numFmtId="0">
      <sharedItems count="22">
        <s v="AKT"/>
        <s v="ANK"/>
        <s v="Baghpat"/>
        <s v="Begusarai"/>
        <s v="Bhopal"/>
        <s v="BJJ"/>
        <s v="BKR"/>
        <s v="Chittoor"/>
        <s v="CHK"/>
        <s v="Dahej"/>
        <s v="Ennore"/>
        <s v="Hazira"/>
        <s v="Jalandhar"/>
        <s v="KNCP"/>
        <s v="KNV"/>
        <s v="Kochi"/>
        <s v="Kolar"/>
        <s v="MMC"/>
        <s v="Nellore"/>
        <s v="RMN"/>
        <s v="UHS"/>
        <s v="Vellore"/>
      </sharedItems>
    </cacheField>
    <cacheField name="Location" numFmtId="0">
      <sharedItems/>
    </cacheField>
    <cacheField name="No of vehicles in Operation" numFmtId="0">
      <sharedItems containsSemiMixedTypes="0" containsString="0" containsNumber="1" containsInteger="1" minValue="1" maxValue="58"/>
    </cacheField>
    <cacheField name="Camera Fitted" numFmtId="0">
      <sharedItems containsSemiMixedTypes="0" containsString="0" containsNumber="1" containsInteger="1" minValue="1" maxValue="54"/>
    </cacheField>
    <cacheField name="Camera not Fitted" numFmtId="0">
      <sharedItems containsSemiMixedTypes="0" containsString="0" containsNumber="1" containsInteger="1" minValue="0" maxValue="5"/>
    </cacheField>
    <cacheField name="AI camera working  _x000a_( 23 Feb )" numFmtId="0">
      <sharedItems containsSemiMixedTypes="0" containsString="0" containsNumber="1" containsInteger="1" minValue="0" maxValue="51"/>
    </cacheField>
    <cacheField name="17-03-2026" numFmtId="0">
      <sharedItems containsSemiMixedTypes="0" containsString="0" containsNumber="1" containsInteger="1" minValue="0" maxValue="2"/>
    </cacheField>
    <cacheField name="Mar-26" numFmtId="1">
      <sharedItems containsSemiMixedTypes="0" containsString="0" containsNumber="1" containsInteger="1" minValue="0" maxValue="28"/>
    </cacheField>
    <cacheField name="Violations/Vehicle/Day" numFmtId="2">
      <sharedItems containsSemiMixedTypes="0" containsString="0" containsNumber="1" minValue="0" maxValue="0.30434782608695654" count="70">
        <n v="5.8823529411764705E-2"/>
        <n v="2.6737967914438502E-2"/>
        <n v="1.1764705882352941E-2"/>
        <n v="0"/>
        <n v="1.871657754010695E-2"/>
        <n v="1.2687427912341408E-2"/>
        <n v="5.3475935828877011E-3"/>
        <n v="9.0497737556561094E-3"/>
        <n v="3.0588235294117649E-2"/>
        <n v="4.3478260869565216E-2"/>
        <n v="2.1116138763197588E-2"/>
        <n v="1.8255578093306288E-2"/>
        <n v="6.5359477124183E-3"/>
        <n v="5.2631578947368418E-2"/>
        <n v="0.14705882352941177"/>
        <n v="7.8431372549019607E-3"/>
        <n v="2.4509803921568627E-3"/>
        <n v="1.3574660633484163E-2"/>
        <n v="4.4117647058823532E-2" u="1"/>
        <n v="1.60427807486631E-2" u="1"/>
        <n v="8.0738177623990784E-3" u="1"/>
        <n v="4.5248868778280547E-3" u="1"/>
        <n v="2.8235294117647056E-2" u="1"/>
        <n v="3.3248081841432221E-2" u="1"/>
        <n v="1.5082956259426846E-2" u="1"/>
        <n v="1.7241379310344827E-2" u="1"/>
        <n v="3.26797385620915E-3" u="1"/>
        <n v="3.0959752321981421E-2" u="1"/>
        <n v="0.11764705882352941" u="1"/>
        <n v="3.9215686274509803E-3" u="1"/>
        <n v="6.8452380952380945E-2" u="1"/>
        <n v="3.0303030303030304E-2" u="1"/>
        <n v="4.1666666666666666E-3" u="1"/>
        <n v="9.46969696969697E-3" u="1"/>
        <n v="8.1699346405228763E-3" u="1"/>
        <n v="1.2820512820512822E-2" u="1"/>
        <n v="3.3333333333333333E-2" u="1"/>
        <n v="5.0724637681159424E-2" u="1"/>
        <n v="0.16666666666666666" u="1"/>
        <n v="1.9230769230769232E-2" u="1"/>
        <n v="2.4425287356321837E-2" u="1"/>
        <n v="4.6296296296296294E-3" u="1"/>
        <n v="4.8245614035087724E-2" u="1"/>
        <n v="0.25" u="1"/>
        <n v="5.5555555555555558E-3" u="1"/>
        <n v="1.5151515151515152E-2" u="1"/>
        <n v="6.25E-2" u="1"/>
        <n v="2.2727272727272728E-2" u="1"/>
        <n v="5.681818181818182E-3" u="1"/>
        <n v="4.9019607843137254E-3" u="1"/>
        <n v="0.02" u="1"/>
        <n v="3.2608695652173912E-2" u="1"/>
        <n v="1.282051282051282E-2" u="1"/>
        <n v="3.9473684210526314E-2" u="1"/>
        <n v="7.6086956521739135E-2" u="1"/>
        <n v="2.3715415019762844E-2" u="1"/>
        <n v="5.9288537549407111E-3" u="1"/>
        <n v="1.0230179028132991E-2" u="1"/>
        <n v="7.9051383399209481E-3" u="1"/>
        <n v="4.6583850931677016E-2" u="1"/>
        <n v="2.0066889632107024E-2" u="1"/>
        <n v="1.7391304347826087E-2" u="1"/>
        <n v="4.5368620037807179E-2" u="1"/>
        <n v="0.30434782608695654" u="1"/>
        <n v="2.6236881559220389E-2" u="1"/>
        <n v="4.830917874396135E-3" u="1"/>
        <n v="2.1739130434782608E-2" u="1"/>
        <n v="1.5810276679841896E-2" u="1"/>
        <n v="5.434782608695652E-3" u="1"/>
        <n v="1.6722408026755852E-2" u="1"/>
      </sharedItems>
    </cacheField>
  </cacheFields>
  <extLst>
    <ext xmlns:x14="http://schemas.microsoft.com/office/spreadsheetml/2009/9/main" uri="{725AE2AE-9491-48be-B2B4-4EB974FC3084}">
      <x14:pivotCacheDefinition pivotCacheId="1089326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s v="Alapuza, Trivandrum"/>
    <n v="28"/>
    <n v="28"/>
    <n v="0"/>
    <n v="24"/>
    <n v="2"/>
    <n v="28"/>
    <x v="0"/>
  </r>
  <r>
    <x v="1"/>
    <s v="Ananthapur, Kadappa"/>
    <n v="11"/>
    <n v="11"/>
    <n v="0"/>
    <n v="10"/>
    <n v="0"/>
    <n v="5"/>
    <x v="1"/>
  </r>
  <r>
    <x v="2"/>
    <s v="Baghpat"/>
    <n v="20"/>
    <n v="20"/>
    <n v="0"/>
    <n v="0"/>
    <n v="1"/>
    <n v="4"/>
    <x v="2"/>
  </r>
  <r>
    <x v="3"/>
    <s v="Begusarai"/>
    <n v="4"/>
    <n v="4"/>
    <n v="0"/>
    <n v="0"/>
    <n v="0"/>
    <n v="0"/>
    <x v="3"/>
  </r>
  <r>
    <x v="4"/>
    <s v="Bhopal / Shivpuri"/>
    <n v="44"/>
    <n v="44"/>
    <n v="0"/>
    <n v="10"/>
    <n v="1"/>
    <n v="14"/>
    <x v="4"/>
  </r>
  <r>
    <x v="5"/>
    <s v="Jodhpur"/>
    <n v="51"/>
    <n v="46"/>
    <n v="5"/>
    <n v="42"/>
    <n v="1"/>
    <n v="11"/>
    <x v="5"/>
  </r>
  <r>
    <x v="6"/>
    <s v="Bagalkot, Raichur"/>
    <n v="11"/>
    <n v="11"/>
    <n v="0"/>
    <n v="11"/>
    <n v="0"/>
    <n v="1"/>
    <x v="6"/>
  </r>
  <r>
    <x v="7"/>
    <s v="Tirupathi"/>
    <n v="14"/>
    <n v="11"/>
    <n v="3"/>
    <n v="10"/>
    <n v="0"/>
    <n v="0"/>
    <x v="3"/>
  </r>
  <r>
    <x v="8"/>
    <s v="Hassan"/>
    <n v="13"/>
    <n v="13"/>
    <n v="0"/>
    <n v="8"/>
    <n v="0"/>
    <n v="2"/>
    <x v="7"/>
  </r>
  <r>
    <x v="9"/>
    <s v="Dahej"/>
    <n v="25"/>
    <n v="22"/>
    <n v="3"/>
    <n v="22"/>
    <n v="1"/>
    <n v="13"/>
    <x v="8"/>
  </r>
  <r>
    <x v="10"/>
    <s v="Ennore/Dabhol"/>
    <n v="23"/>
    <n v="23"/>
    <n v="0"/>
    <n v="23"/>
    <n v="2"/>
    <n v="17"/>
    <x v="9"/>
  </r>
  <r>
    <x v="11"/>
    <s v="Hazira"/>
    <n v="1"/>
    <n v="1"/>
    <n v="0"/>
    <n v="1"/>
    <n v="0"/>
    <n v="1"/>
    <x v="0"/>
  </r>
  <r>
    <x v="12"/>
    <s v="Jalandhar / Ludhiana"/>
    <n v="39"/>
    <n v="39"/>
    <n v="0"/>
    <n v="0"/>
    <n v="0"/>
    <n v="14"/>
    <x v="10"/>
  </r>
  <r>
    <x v="13"/>
    <s v="Kanchipuram"/>
    <n v="58"/>
    <n v="54"/>
    <n v="4"/>
    <n v="51"/>
    <n v="2"/>
    <n v="18"/>
    <x v="11"/>
  </r>
  <r>
    <x v="14"/>
    <s v="Kalburgi, Vijayapura"/>
    <n v="18"/>
    <n v="17"/>
    <n v="1"/>
    <n v="16"/>
    <n v="0"/>
    <n v="2"/>
    <x v="12"/>
  </r>
  <r>
    <x v="15"/>
    <s v="Kochi"/>
    <n v="19"/>
    <n v="17"/>
    <n v="2"/>
    <n v="15"/>
    <n v="1"/>
    <n v="17"/>
    <x v="13"/>
  </r>
  <r>
    <x v="16"/>
    <s v="Kolar"/>
    <n v="2"/>
    <n v="2"/>
    <n v="0"/>
    <n v="1"/>
    <n v="0"/>
    <n v="5"/>
    <x v="14"/>
  </r>
  <r>
    <x v="17"/>
    <s v="Mysuru"/>
    <n v="15"/>
    <n v="15"/>
    <n v="0"/>
    <n v="14"/>
    <n v="0"/>
    <n v="2"/>
    <x v="15"/>
  </r>
  <r>
    <x v="18"/>
    <s v="Nellore"/>
    <n v="11"/>
    <n v="11"/>
    <n v="0"/>
    <n v="9"/>
    <n v="0"/>
    <n v="1"/>
    <x v="6"/>
  </r>
  <r>
    <x v="19"/>
    <s v="Ramanathapuram"/>
    <n v="5"/>
    <n v="5"/>
    <n v="0"/>
    <n v="5"/>
    <n v="0"/>
    <n v="0"/>
    <x v="3"/>
  </r>
  <r>
    <x v="20"/>
    <s v="Shivamogga, Haveri"/>
    <n v="24"/>
    <n v="23"/>
    <n v="1"/>
    <n v="20"/>
    <n v="1"/>
    <n v="1"/>
    <x v="16"/>
  </r>
  <r>
    <x v="21"/>
    <s v="Vellore"/>
    <n v="13"/>
    <n v="12"/>
    <n v="1"/>
    <n v="9"/>
    <n v="0"/>
    <n v="3"/>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B48983-490C-4D7F-AEAA-93A7D5EDD936}"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GA">
  <location ref="A3:B15" firstHeaderRow="1" firstDataRow="1" firstDataCol="1"/>
  <pivotFields count="9">
    <pivotField axis="axisRow" showAll="0" measureFilter="1" sortType="descending">
      <items count="23">
        <item x="0"/>
        <item x="1"/>
        <item x="2"/>
        <item x="3"/>
        <item x="4"/>
        <item x="5"/>
        <item x="6"/>
        <item x="7"/>
        <item x="8"/>
        <item x="9"/>
        <item x="10"/>
        <item x="11"/>
        <item x="12"/>
        <item x="13"/>
        <item x="14"/>
        <item x="15"/>
        <item x="16"/>
        <item x="17"/>
        <item x="18"/>
        <item x="19"/>
        <item x="20"/>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 dataField="1" numFmtId="2" showAll="0">
      <items count="71">
        <item x="3"/>
        <item x="16"/>
        <item m="1" x="26"/>
        <item m="1" x="29"/>
        <item m="1" x="32"/>
        <item m="1" x="21"/>
        <item m="1" x="41"/>
        <item m="1" x="65"/>
        <item m="1" x="49"/>
        <item x="6"/>
        <item m="1" x="68"/>
        <item m="1" x="44"/>
        <item m="1" x="48"/>
        <item m="1" x="56"/>
        <item x="12"/>
        <item x="15"/>
        <item m="1" x="58"/>
        <item m="1" x="20"/>
        <item m="1" x="34"/>
        <item x="7"/>
        <item m="1" x="33"/>
        <item m="1" x="57"/>
        <item x="2"/>
        <item x="5"/>
        <item m="1" x="52"/>
        <item m="1" x="35"/>
        <item x="17"/>
        <item m="1" x="24"/>
        <item m="1" x="45"/>
        <item m="1" x="67"/>
        <item m="1" x="19"/>
        <item m="1" x="69"/>
        <item m="1" x="25"/>
        <item m="1" x="61"/>
        <item x="11"/>
        <item x="4"/>
        <item m="1" x="39"/>
        <item m="1" x="50"/>
        <item m="1" x="60"/>
        <item x="10"/>
        <item m="1" x="66"/>
        <item m="1" x="47"/>
        <item m="1" x="55"/>
        <item m="1" x="40"/>
        <item m="1" x="64"/>
        <item x="1"/>
        <item m="1" x="22"/>
        <item m="1" x="31"/>
        <item x="8"/>
        <item m="1" x="27"/>
        <item m="1" x="51"/>
        <item m="1" x="23"/>
        <item m="1" x="36"/>
        <item m="1" x="53"/>
        <item x="9"/>
        <item m="1" x="18"/>
        <item m="1" x="62"/>
        <item m="1" x="59"/>
        <item m="1" x="42"/>
        <item m="1" x="37"/>
        <item x="13"/>
        <item x="0"/>
        <item m="1" x="46"/>
        <item m="1" x="30"/>
        <item m="1" x="54"/>
        <item m="1" x="28"/>
        <item x="14"/>
        <item m="1" x="38"/>
        <item m="1" x="43"/>
        <item m="1" x="63"/>
        <item t="default"/>
      </items>
    </pivotField>
  </pivotFields>
  <rowFields count="1">
    <field x="0"/>
  </rowFields>
  <rowItems count="12">
    <i>
      <x v="16"/>
    </i>
    <i>
      <x/>
    </i>
    <i>
      <x v="11"/>
    </i>
    <i>
      <x v="15"/>
    </i>
    <i>
      <x v="10"/>
    </i>
    <i>
      <x v="9"/>
    </i>
    <i>
      <x v="1"/>
    </i>
    <i>
      <x v="12"/>
    </i>
    <i>
      <x v="4"/>
    </i>
    <i>
      <x v="13"/>
    </i>
    <i>
      <x v="21"/>
    </i>
    <i t="grand">
      <x/>
    </i>
  </rowItems>
  <colItems count="1">
    <i/>
  </colItems>
  <dataFields count="1">
    <dataField name=" Violations/Vehicle/Day" fld="8" subtotal="max" baseField="0" baseItem="0" numFmtId="2"/>
  </dataFields>
  <formats count="20">
    <format dxfId="123">
      <pivotArea type="all" dataOnly="0" outline="0" fieldPosition="0"/>
    </format>
    <format dxfId="122">
      <pivotArea outline="0" collapsedLevelsAreSubtotals="1" fieldPosition="0"/>
    </format>
    <format dxfId="121">
      <pivotArea field="0" type="button" dataOnly="0" labelOnly="1" outline="0" axis="axisRow" fieldPosition="0"/>
    </format>
    <format dxfId="120">
      <pivotArea dataOnly="0" labelOnly="1" fieldPosition="0">
        <references count="1">
          <reference field="0" count="11">
            <x v="0"/>
            <x v="1"/>
            <x v="7"/>
            <x v="8"/>
            <x v="9"/>
            <x v="10"/>
            <x v="11"/>
            <x v="13"/>
            <x v="15"/>
            <x v="16"/>
            <x v="17"/>
          </reference>
        </references>
      </pivotArea>
    </format>
    <format dxfId="119">
      <pivotArea dataOnly="0" labelOnly="1" grandRow="1" outline="0" fieldPosition="0"/>
    </format>
    <format dxfId="118">
      <pivotArea dataOnly="0" labelOnly="1" outline="0" axis="axisValues" fieldPosition="0"/>
    </format>
    <format dxfId="117">
      <pivotArea collapsedLevelsAreSubtotals="1" fieldPosition="0">
        <references count="1">
          <reference field="0" count="11">
            <x v="0"/>
            <x v="1"/>
            <x v="7"/>
            <x v="8"/>
            <x v="9"/>
            <x v="10"/>
            <x v="11"/>
            <x v="13"/>
            <x v="15"/>
            <x v="16"/>
            <x v="17"/>
          </reference>
        </references>
      </pivotArea>
    </format>
    <format dxfId="116">
      <pivotArea dataOnly="0" labelOnly="1" fieldPosition="0">
        <references count="1">
          <reference field="0" count="11">
            <x v="0"/>
            <x v="1"/>
            <x v="7"/>
            <x v="8"/>
            <x v="9"/>
            <x v="10"/>
            <x v="11"/>
            <x v="13"/>
            <x v="15"/>
            <x v="16"/>
            <x v="17"/>
          </reference>
        </references>
      </pivotArea>
    </format>
    <format dxfId="115">
      <pivotArea collapsedLevelsAreSubtotals="1" fieldPosition="0">
        <references count="1">
          <reference field="0" count="11">
            <x v="0"/>
            <x v="1"/>
            <x v="7"/>
            <x v="8"/>
            <x v="9"/>
            <x v="10"/>
            <x v="11"/>
            <x v="13"/>
            <x v="15"/>
            <x v="16"/>
            <x v="17"/>
          </reference>
        </references>
      </pivotArea>
    </format>
    <format dxfId="114">
      <pivotArea dataOnly="0" labelOnly="1" fieldPosition="0">
        <references count="1">
          <reference field="0" count="11">
            <x v="0"/>
            <x v="1"/>
            <x v="7"/>
            <x v="8"/>
            <x v="9"/>
            <x v="10"/>
            <x v="11"/>
            <x v="13"/>
            <x v="15"/>
            <x v="16"/>
            <x v="17"/>
          </reference>
        </references>
      </pivotArea>
    </format>
    <format dxfId="113">
      <pivotArea type="all" dataOnly="0" outline="0" fieldPosition="0"/>
    </format>
    <format dxfId="112">
      <pivotArea outline="0" collapsedLevelsAreSubtotals="1" fieldPosition="0"/>
    </format>
    <format dxfId="111">
      <pivotArea field="0" type="button" dataOnly="0" labelOnly="1" outline="0" axis="axisRow" fieldPosition="0"/>
    </format>
    <format dxfId="110">
      <pivotArea dataOnly="0" labelOnly="1" fieldPosition="0">
        <references count="1">
          <reference field="0" count="11">
            <x v="0"/>
            <x v="1"/>
            <x v="7"/>
            <x v="8"/>
            <x v="9"/>
            <x v="10"/>
            <x v="11"/>
            <x v="13"/>
            <x v="15"/>
            <x v="16"/>
            <x v="17"/>
          </reference>
        </references>
      </pivotArea>
    </format>
    <format dxfId="109">
      <pivotArea dataOnly="0" labelOnly="1" grandRow="1" outline="0" fieldPosition="0"/>
    </format>
    <format dxfId="108">
      <pivotArea dataOnly="0" labelOnly="1" outline="0" axis="axisValues" fieldPosition="0"/>
    </format>
    <format dxfId="107">
      <pivotArea collapsedLevelsAreSubtotals="1" fieldPosition="0">
        <references count="1">
          <reference field="0" count="1">
            <x v="15"/>
          </reference>
        </references>
      </pivotArea>
    </format>
    <format dxfId="106">
      <pivotArea dataOnly="0" labelOnly="1" fieldPosition="0">
        <references count="1">
          <reference field="0" count="1">
            <x v="15"/>
          </reference>
        </references>
      </pivotArea>
    </format>
    <format dxfId="105">
      <pivotArea dataOnly="0" labelOnly="1" fieldPosition="0">
        <references count="1">
          <reference field="0" count="1">
            <x v="15"/>
          </reference>
        </references>
      </pivotArea>
    </format>
    <format dxfId="104">
      <pivotArea collapsedLevelsAreSubtotals="1" fieldPosition="0">
        <references count="1">
          <reference field="0" count="1">
            <x v="15"/>
          </reference>
        </references>
      </pivotArea>
    </format>
  </formats>
  <chartFormats count="1">
    <chartFormat chart="18"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0" type="count" evalOrder="-1" id="3" iMeasureFld="0">
      <autoFilter ref="A1">
        <filterColumn colId="0">
          <top10 val="11" filterVal="1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B3CE47-5F13-4D44-B10F-003B97425CB5}"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F15" firstHeaderRow="1" firstDataRow="1" firstDataCol="1"/>
  <pivotFields count="9">
    <pivotField axis="axisRow" showAll="0" measureFilter="1" sortType="ascending">
      <items count="23">
        <item x="0"/>
        <item x="1"/>
        <item x="2"/>
        <item x="3"/>
        <item x="4"/>
        <item x="5"/>
        <item x="6"/>
        <item x="7"/>
        <item x="8"/>
        <item x="9"/>
        <item x="10"/>
        <item x="11"/>
        <item x="12"/>
        <item x="13"/>
        <item x="14"/>
        <item x="15"/>
        <item x="16"/>
        <item x="17"/>
        <item x="18"/>
        <item x="19"/>
        <item x="20"/>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 dataField="1" numFmtId="2" showAll="0">
      <items count="71">
        <item x="3"/>
        <item x="16"/>
        <item m="1" x="26"/>
        <item m="1" x="29"/>
        <item m="1" x="32"/>
        <item m="1" x="21"/>
        <item m="1" x="41"/>
        <item m="1" x="65"/>
        <item m="1" x="49"/>
        <item x="6"/>
        <item m="1" x="68"/>
        <item m="1" x="44"/>
        <item m="1" x="48"/>
        <item m="1" x="56"/>
        <item x="12"/>
        <item x="15"/>
        <item m="1" x="58"/>
        <item m="1" x="20"/>
        <item m="1" x="34"/>
        <item x="7"/>
        <item m="1" x="33"/>
        <item m="1" x="57"/>
        <item x="2"/>
        <item x="5"/>
        <item m="1" x="52"/>
        <item m="1" x="35"/>
        <item x="17"/>
        <item m="1" x="24"/>
        <item m="1" x="45"/>
        <item m="1" x="67"/>
        <item m="1" x="19"/>
        <item m="1" x="69"/>
        <item m="1" x="25"/>
        <item m="1" x="61"/>
        <item x="11"/>
        <item x="4"/>
        <item m="1" x="39"/>
        <item m="1" x="50"/>
        <item m="1" x="60"/>
        <item x="10"/>
        <item m="1" x="66"/>
        <item m="1" x="47"/>
        <item m="1" x="55"/>
        <item m="1" x="40"/>
        <item m="1" x="64"/>
        <item x="1"/>
        <item m="1" x="22"/>
        <item m="1" x="31"/>
        <item x="8"/>
        <item m="1" x="27"/>
        <item m="1" x="51"/>
        <item m="1" x="23"/>
        <item m="1" x="36"/>
        <item m="1" x="53"/>
        <item x="9"/>
        <item m="1" x="18"/>
        <item m="1" x="62"/>
        <item m="1" x="59"/>
        <item m="1" x="42"/>
        <item m="1" x="37"/>
        <item x="13"/>
        <item x="0"/>
        <item m="1" x="46"/>
        <item m="1" x="30"/>
        <item m="1" x="54"/>
        <item m="1" x="28"/>
        <item x="14"/>
        <item m="1" x="38"/>
        <item m="1" x="43"/>
        <item m="1" x="63"/>
        <item t="default"/>
      </items>
    </pivotField>
  </pivotFields>
  <rowFields count="1">
    <field x="0"/>
  </rowFields>
  <rowItems count="12">
    <i>
      <x v="7"/>
    </i>
    <i>
      <x v="3"/>
    </i>
    <i>
      <x v="19"/>
    </i>
    <i>
      <x v="20"/>
    </i>
    <i>
      <x v="6"/>
    </i>
    <i>
      <x v="18"/>
    </i>
    <i>
      <x v="14"/>
    </i>
    <i>
      <x v="17"/>
    </i>
    <i>
      <x v="8"/>
    </i>
    <i>
      <x v="2"/>
    </i>
    <i>
      <x v="5"/>
    </i>
    <i t="grand">
      <x/>
    </i>
  </rowItems>
  <colItems count="1">
    <i/>
  </colItems>
  <dataFields count="1">
    <dataField name="  Violations/Vehicle/Day" fld="8" baseField="0" baseItem="0" numFmtId="2"/>
  </dataFields>
  <formats count="40">
    <format dxfId="161">
      <pivotArea field="0" type="button" dataOnly="0" labelOnly="1" outline="0" axis="axisRow" fieldPosition="0"/>
    </format>
    <format dxfId="160">
      <pivotArea dataOnly="0" outline="0" axis="axisValues" fieldPosition="0"/>
    </format>
    <format dxfId="159">
      <pivotArea field="0" type="button" dataOnly="0" labelOnly="1" outline="0" axis="axisRow" fieldPosition="0"/>
    </format>
    <format dxfId="158">
      <pivotArea dataOnly="0" labelOnly="1" outline="0" axis="axisValues" fieldPosition="0"/>
    </format>
    <format dxfId="157">
      <pivotArea grandRow="1" outline="0" collapsedLevelsAreSubtotals="1" fieldPosition="0"/>
    </format>
    <format dxfId="156">
      <pivotArea dataOnly="0" labelOnly="1" grandRow="1" outline="0" fieldPosition="0"/>
    </format>
    <format dxfId="155">
      <pivotArea type="all" dataOnly="0" outline="0" fieldPosition="0"/>
    </format>
    <format dxfId="154">
      <pivotArea outline="0" collapsedLevelsAreSubtotals="1" fieldPosition="0"/>
    </format>
    <format dxfId="153">
      <pivotArea field="0" type="button" dataOnly="0" labelOnly="1" outline="0" axis="axisRow" fieldPosition="0"/>
    </format>
    <format dxfId="152">
      <pivotArea dataOnly="0" labelOnly="1" fieldPosition="0">
        <references count="1">
          <reference field="0" count="10">
            <x v="2"/>
            <x v="3"/>
            <x v="4"/>
            <x v="5"/>
            <x v="6"/>
            <x v="12"/>
            <x v="14"/>
            <x v="18"/>
            <x v="19"/>
            <x v="20"/>
          </reference>
        </references>
      </pivotArea>
    </format>
    <format dxfId="151">
      <pivotArea dataOnly="0" labelOnly="1" grandRow="1" outline="0" fieldPosition="0"/>
    </format>
    <format dxfId="150">
      <pivotArea dataOnly="0" labelOnly="1" outline="0" axis="axisValues" fieldPosition="0"/>
    </format>
    <format dxfId="149">
      <pivotArea dataOnly="0" labelOnly="1" grandRow="1" outline="0" fieldPosition="0"/>
    </format>
    <format dxfId="148">
      <pivotArea grandRow="1" outline="0" collapsedLevelsAreSubtotals="1" fieldPosition="0"/>
    </format>
    <format dxfId="147">
      <pivotArea collapsedLevelsAreSubtotals="1" fieldPosition="0">
        <references count="1">
          <reference field="0" count="10">
            <x v="2"/>
            <x v="3"/>
            <x v="4"/>
            <x v="5"/>
            <x v="6"/>
            <x v="12"/>
            <x v="14"/>
            <x v="18"/>
            <x v="19"/>
            <x v="20"/>
          </reference>
        </references>
      </pivotArea>
    </format>
    <format dxfId="146">
      <pivotArea field="0" type="button" dataOnly="0" labelOnly="1" outline="0" axis="axisRow" fieldPosition="0"/>
    </format>
    <format dxfId="145">
      <pivotArea dataOnly="0" labelOnly="1" fieldPosition="0">
        <references count="1">
          <reference field="0" count="10">
            <x v="2"/>
            <x v="3"/>
            <x v="4"/>
            <x v="5"/>
            <x v="6"/>
            <x v="12"/>
            <x v="14"/>
            <x v="18"/>
            <x v="19"/>
            <x v="20"/>
          </reference>
        </references>
      </pivotArea>
    </format>
    <format dxfId="144">
      <pivotArea dataOnly="0" labelOnly="1" outline="0" axis="axisValues" fieldPosition="0"/>
    </format>
    <format dxfId="143">
      <pivotArea collapsedLevelsAreSubtotals="1" fieldPosition="0">
        <references count="1">
          <reference field="0" count="10">
            <x v="2"/>
            <x v="3"/>
            <x v="4"/>
            <x v="5"/>
            <x v="6"/>
            <x v="12"/>
            <x v="14"/>
            <x v="18"/>
            <x v="19"/>
            <x v="20"/>
          </reference>
        </references>
      </pivotArea>
    </format>
    <format dxfId="142">
      <pivotArea field="0" type="button" dataOnly="0" labelOnly="1" outline="0" axis="axisRow" fieldPosition="0"/>
    </format>
    <format dxfId="141">
      <pivotArea dataOnly="0" labelOnly="1" fieldPosition="0">
        <references count="1">
          <reference field="0" count="10">
            <x v="2"/>
            <x v="3"/>
            <x v="4"/>
            <x v="5"/>
            <x v="6"/>
            <x v="12"/>
            <x v="14"/>
            <x v="18"/>
            <x v="19"/>
            <x v="20"/>
          </reference>
        </references>
      </pivotArea>
    </format>
    <format dxfId="140">
      <pivotArea dataOnly="0" labelOnly="1" outline="0" axis="axisValues" fieldPosition="0"/>
    </format>
    <format dxfId="139">
      <pivotArea collapsedLevelsAreSubtotals="1" fieldPosition="0">
        <references count="1">
          <reference field="0" count="1">
            <x v="21"/>
          </reference>
        </references>
      </pivotArea>
    </format>
    <format dxfId="138">
      <pivotArea dataOnly="0" labelOnly="1" fieldPosition="0">
        <references count="1">
          <reference field="0" count="1">
            <x v="21"/>
          </reference>
        </references>
      </pivotArea>
    </format>
    <format dxfId="137">
      <pivotArea collapsedLevelsAreSubtotals="1" fieldPosition="0">
        <references count="1">
          <reference field="0" count="1">
            <x v="21"/>
          </reference>
        </references>
      </pivotArea>
    </format>
    <format dxfId="136">
      <pivotArea dataOnly="0" labelOnly="1" fieldPosition="0">
        <references count="1">
          <reference field="0" count="1">
            <x v="21"/>
          </reference>
        </references>
      </pivotArea>
    </format>
    <format dxfId="135">
      <pivotArea collapsedLevelsAreSubtotals="1" fieldPosition="0">
        <references count="1">
          <reference field="0" count="1">
            <x v="21"/>
          </reference>
        </references>
      </pivotArea>
    </format>
    <format dxfId="134">
      <pivotArea dataOnly="0" labelOnly="1" fieldPosition="0">
        <references count="1">
          <reference field="0" count="1">
            <x v="21"/>
          </reference>
        </references>
      </pivotArea>
    </format>
    <format dxfId="133">
      <pivotArea outline="0" collapsedLevelsAreSubtotals="1" fieldPosition="0"/>
    </format>
    <format dxfId="132">
      <pivotArea dataOnly="0" labelOnly="1" fieldPosition="0">
        <references count="1">
          <reference field="0" count="11">
            <x v="2"/>
            <x v="3"/>
            <x v="4"/>
            <x v="5"/>
            <x v="6"/>
            <x v="12"/>
            <x v="14"/>
            <x v="18"/>
            <x v="19"/>
            <x v="20"/>
            <x v="21"/>
          </reference>
        </references>
      </pivotArea>
    </format>
    <format dxfId="131">
      <pivotArea dataOnly="0" labelOnly="1" grandRow="1" outline="0" fieldPosition="0"/>
    </format>
    <format dxfId="130">
      <pivotArea grandRow="1" outline="0" collapsedLevelsAreSubtotals="1" fieldPosition="0"/>
    </format>
    <format dxfId="129">
      <pivotArea dataOnly="0" labelOnly="1" grandRow="1" outline="0" fieldPosition="0"/>
    </format>
    <format dxfId="128">
      <pivotArea grandRow="1" outline="0" collapsedLevelsAreSubtotals="1" fieldPosition="0"/>
    </format>
    <format dxfId="127">
      <pivotArea grandRow="1" outline="0" collapsedLevelsAreSubtotals="1" fieldPosition="0"/>
    </format>
    <format dxfId="126">
      <pivotArea dataOnly="0" labelOnly="1" grandRow="1" outline="0" fieldPosition="0"/>
    </format>
    <format dxfId="125">
      <pivotArea collapsedLevelsAreSubtotals="1" fieldPosition="0">
        <references count="1">
          <reference field="0" count="1">
            <x v="3"/>
          </reference>
        </references>
      </pivotArea>
    </format>
    <format dxfId="124">
      <pivotArea collapsedLevelsAreSubtotals="1" fieldPosition="0">
        <references count="1">
          <reference field="0" count="1">
            <x v="3"/>
          </reference>
        </references>
      </pivotArea>
    </format>
    <format dxfId="3">
      <pivotArea dataOnly="0" labelOnly="1" fieldPosition="0">
        <references count="1">
          <reference field="0" count="11">
            <x v="2"/>
            <x v="3"/>
            <x v="5"/>
            <x v="6"/>
            <x v="7"/>
            <x v="8"/>
            <x v="14"/>
            <x v="17"/>
            <x v="18"/>
            <x v="19"/>
            <x v="20"/>
          </reference>
        </references>
      </pivotArea>
    </format>
    <format dxfId="2">
      <pivotArea dataOnly="0" labelOnly="1" fieldPosition="0">
        <references count="1">
          <reference field="0" count="11">
            <x v="2"/>
            <x v="3"/>
            <x v="5"/>
            <x v="6"/>
            <x v="7"/>
            <x v="8"/>
            <x v="14"/>
            <x v="17"/>
            <x v="18"/>
            <x v="19"/>
            <x v="2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8" iMeasureFld="0">
      <autoFilter ref="A1">
        <filterColumn colId="0">
          <top10 top="0" val="11" filterVal="1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9" xr16:uid="{A2E5A995-1A60-44CB-9F15-1457A8A3D37F}" autoFormatId="16" applyNumberFormats="0" applyBorderFormats="0" applyFontFormats="0" applyPatternFormats="0" applyAlignmentFormats="0" applyWidthHeightFormats="0">
  <queryTableRefresh nextId="48" unboundColumnsRight="1">
    <queryTableFields count="15">
      <queryTableField id="2" name="S.no" tableColumnId="2"/>
      <queryTableField id="3" name="Date" tableColumnId="3"/>
      <queryTableField id="7" name="Transporter" tableColumnId="7"/>
      <queryTableField id="8" name="Vehicle No" tableColumnId="8"/>
      <queryTableField id="23" name="VehicleType" tableColumnId="23"/>
      <queryTableField id="9" name="Driver Name" tableColumnId="9"/>
      <queryTableField id="10" name="Driver ID" tableColumnId="10"/>
      <queryTableField id="11" name="GA " tableColumnId="11"/>
      <queryTableField id="26" name="Overspeed" tableColumnId="25"/>
      <queryTableField id="27" name="Mobile Usage" tableColumnId="26"/>
      <queryTableField id="42" name="Fatigue" tableColumnId="1"/>
      <queryTableField id="28" name="No Seatbelt" tableColumnId="27"/>
      <queryTableField id="30" name="Camera Anomaly" tableColumnId="29"/>
      <queryTableField id="25" name="Yawning" tableColumnId="24"/>
      <queryTableField id="47" dataBound="0"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8" xr16:uid="{996D575B-71B7-458C-8D6C-EFCFF468E395}" autoFormatId="16" applyNumberFormats="0" applyBorderFormats="0" applyFontFormats="0" applyPatternFormats="0" applyAlignmentFormats="0" applyWidthHeightFormats="0">
  <queryTableRefresh nextId="9">
    <queryTableFields count="4">
      <queryTableField id="5" name="VehicleNumber" tableColumnId="5"/>
      <queryTableField id="6" name="VehicleType" tableColumnId="6"/>
      <queryTableField id="7" name="Transporter Name" tableColumnId="7"/>
      <queryTableField id="8" name="GALocation"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olations_Vehicle_Day" xr10:uid="{0B7E3088-5B55-4CAD-89FE-A825DD1AFD5F}" sourceName="Violations/Vehicle/Day">
  <pivotTables>
    <pivotTable tabId="12" name="PivotTable1"/>
  </pivotTables>
  <data>
    <tabular pivotCacheId="1089326294" sortOrder="descending">
      <items count="70">
        <i x="14" s="1"/>
        <i x="0" s="1"/>
        <i x="13" s="1"/>
        <i x="9" s="1"/>
        <i x="8" s="1"/>
        <i x="1" s="1"/>
        <i x="10" s="1"/>
        <i x="4" s="1"/>
        <i x="11" s="1"/>
        <i x="17" s="1"/>
        <i x="5" s="1"/>
        <i x="2" s="1"/>
        <i x="7" s="1"/>
        <i x="15" s="1"/>
        <i x="12" s="1"/>
        <i x="6" s="1"/>
        <i x="16" s="1"/>
        <i x="3" s="1"/>
        <i x="63" s="1" nd="1"/>
        <i x="43" s="1" nd="1"/>
        <i x="38" s="1" nd="1"/>
        <i x="28" s="1" nd="1"/>
        <i x="54" s="1" nd="1"/>
        <i x="30" s="1" nd="1"/>
        <i x="46" s="1" nd="1"/>
        <i x="37" s="1" nd="1"/>
        <i x="42" s="1" nd="1"/>
        <i x="59" s="1" nd="1"/>
        <i x="62" s="1" nd="1"/>
        <i x="18" s="1" nd="1"/>
        <i x="53" s="1" nd="1"/>
        <i x="36" s="1" nd="1"/>
        <i x="23" s="1" nd="1"/>
        <i x="51" s="1" nd="1"/>
        <i x="27" s="1" nd="1"/>
        <i x="31" s="1" nd="1"/>
        <i x="22" s="1" nd="1"/>
        <i x="64" s="1" nd="1"/>
        <i x="40" s="1" nd="1"/>
        <i x="55" s="1" nd="1"/>
        <i x="47" s="1" nd="1"/>
        <i x="66" s="1" nd="1"/>
        <i x="60" s="1" nd="1"/>
        <i x="50" s="1" nd="1"/>
        <i x="39" s="1" nd="1"/>
        <i x="61" s="1" nd="1"/>
        <i x="25" s="1" nd="1"/>
        <i x="69" s="1" nd="1"/>
        <i x="19" s="1" nd="1"/>
        <i x="67" s="1" nd="1"/>
        <i x="45" s="1" nd="1"/>
        <i x="24" s="1" nd="1"/>
        <i x="35" s="1" nd="1"/>
        <i x="52" s="1" nd="1"/>
        <i x="57" s="1" nd="1"/>
        <i x="33" s="1" nd="1"/>
        <i x="34" s="1" nd="1"/>
        <i x="20" s="1" nd="1"/>
        <i x="58" s="1" nd="1"/>
        <i x="56" s="1" nd="1"/>
        <i x="48" s="1" nd="1"/>
        <i x="44" s="1" nd="1"/>
        <i x="68" s="1" nd="1"/>
        <i x="49" s="1" nd="1"/>
        <i x="65" s="1" nd="1"/>
        <i x="41" s="1" nd="1"/>
        <i x="21" s="1" nd="1"/>
        <i x="32" s="1" nd="1"/>
        <i x="29" s="1" nd="1"/>
        <i x="2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olations_Vehicle_Day1" xr10:uid="{D0A516F3-2ACD-4AEA-88B6-E97D87C85F6E}" sourceName="Violations/Vehicle/Day">
  <pivotTables>
    <pivotTable tabId="12" name="PivotTable2"/>
  </pivotTables>
  <data>
    <tabular pivotCacheId="1089326294">
      <items count="70">
        <i x="3" s="1"/>
        <i x="16" s="1"/>
        <i x="6" s="1"/>
        <i x="12" s="1"/>
        <i x="15" s="1"/>
        <i x="7" s="1"/>
        <i x="2" s="1"/>
        <i x="5" s="1"/>
        <i x="17" s="1"/>
        <i x="11" s="1"/>
        <i x="4" s="1"/>
        <i x="10" s="1"/>
        <i x="1" s="1"/>
        <i x="8" s="1"/>
        <i x="9" s="1"/>
        <i x="13" s="1"/>
        <i x="0" s="1"/>
        <i x="14" s="1"/>
        <i x="26" s="1" nd="1"/>
        <i x="29" s="1" nd="1"/>
        <i x="32" s="1" nd="1"/>
        <i x="21" s="1" nd="1"/>
        <i x="41" s="1" nd="1"/>
        <i x="65" s="1" nd="1"/>
        <i x="49" s="1" nd="1"/>
        <i x="68" s="1" nd="1"/>
        <i x="44" s="1" nd="1"/>
        <i x="48" s="1" nd="1"/>
        <i x="56" s="1" nd="1"/>
        <i x="58" s="1" nd="1"/>
        <i x="20" s="1" nd="1"/>
        <i x="34" s="1" nd="1"/>
        <i x="33" s="1" nd="1"/>
        <i x="57" s="1" nd="1"/>
        <i x="52" s="1" nd="1"/>
        <i x="35" s="1" nd="1"/>
        <i x="24" s="1" nd="1"/>
        <i x="45" s="1" nd="1"/>
        <i x="67" s="1" nd="1"/>
        <i x="19" s="1" nd="1"/>
        <i x="69" s="1" nd="1"/>
        <i x="25" s="1" nd="1"/>
        <i x="61" s="1" nd="1"/>
        <i x="39" s="1" nd="1"/>
        <i x="50" s="1" nd="1"/>
        <i x="60" s="1" nd="1"/>
        <i x="66" s="1" nd="1"/>
        <i x="47" s="1" nd="1"/>
        <i x="55" s="1" nd="1"/>
        <i x="40" s="1" nd="1"/>
        <i x="64" s="1" nd="1"/>
        <i x="22" s="1" nd="1"/>
        <i x="31" s="1" nd="1"/>
        <i x="27" s="1" nd="1"/>
        <i x="51" s="1" nd="1"/>
        <i x="23" s="1" nd="1"/>
        <i x="36" s="1" nd="1"/>
        <i x="53" s="1" nd="1"/>
        <i x="18" s="1" nd="1"/>
        <i x="62" s="1" nd="1"/>
        <i x="59" s="1" nd="1"/>
        <i x="42" s="1" nd="1"/>
        <i x="37" s="1" nd="1"/>
        <i x="46" s="1" nd="1"/>
        <i x="30" s="1" nd="1"/>
        <i x="54" s="1" nd="1"/>
        <i x="28" s="1" nd="1"/>
        <i x="38" s="1" nd="1"/>
        <i x="43" s="1" nd="1"/>
        <i x="6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olations/Vehicle/Day 1" xr10:uid="{2B54C048-7233-41D2-B80A-33AB3532873E}" cache="Slicer_Violations_Vehicle_Day" caption="Violations/Vehicle/Day" columnCount="2" style="SlicerStyleLight6" rowHeight="241300"/>
  <slicer name="Violations/Vehicle/Day" xr10:uid="{945EAAA6-6F14-4B80-B53D-318A18E523FE}" cache="Slicer_Violations_Vehicle_Day1" caption="Violations/Vehicle/Day" columnCount="3"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DB5D6C-0752-4E6F-B105-D92404649F52}" name="Soruce_file_2" displayName="Soruce_file_2" ref="A1:O161" tableType="queryTable" totalsRowCount="1">
  <autoFilter ref="A1:O160" xr:uid="{07DB5D6C-0752-4E6F-B105-D92404649F52}"/>
  <tableColumns count="15">
    <tableColumn id="2" xr3:uid="{8BB459F4-D386-428E-A4B8-FC354F8312D5}" uniqueName="2" name="S.no" queryTableFieldId="2"/>
    <tableColumn id="3" xr3:uid="{A936066F-F353-4759-9881-CFFFCF2D27D1}" uniqueName="3" name="Date" queryTableFieldId="3" dataDxfId="90" totalsRowDxfId="89"/>
    <tableColumn id="7" xr3:uid="{7C0438FB-AD08-4785-A5CA-6508CA180E4B}" uniqueName="7" name="Transporter" queryTableFieldId="7" dataDxfId="88" totalsRowDxfId="87"/>
    <tableColumn id="8" xr3:uid="{3F683104-2BFF-4BFB-8FC3-7AF5F5899B30}" uniqueName="8" name="Vehicle No" queryTableFieldId="8" dataDxfId="86" totalsRowDxfId="85"/>
    <tableColumn id="23" xr3:uid="{AA4A26BA-05D1-4189-9D50-43F696F1AF6D}" uniqueName="23" name="VehicleType" queryTableFieldId="23" dataDxfId="84" totalsRowDxfId="83"/>
    <tableColumn id="9" xr3:uid="{C93D9581-AB59-4C41-A47F-B0267673D288}" uniqueName="9" name="Driver Name" queryTableFieldId="9" dataDxfId="82" totalsRowDxfId="81"/>
    <tableColumn id="10" xr3:uid="{57EC4DCD-EEB7-44C6-A598-1B106BE4362A}" uniqueName="10" name="Driver ID" queryTableFieldId="10" dataDxfId="80" totalsRowDxfId="79"/>
    <tableColumn id="11" xr3:uid="{28C9B582-474C-4D73-A676-F4417718C810}" uniqueName="11" name="GA " queryTableFieldId="11" dataDxfId="78" totalsRowDxfId="77"/>
    <tableColumn id="25" xr3:uid="{B3E5AA8C-64A5-435A-B9EA-FCACC9090392}" uniqueName="25" name="Overspeed" queryTableFieldId="26" dataDxfId="76" totalsRowDxfId="75"/>
    <tableColumn id="26" xr3:uid="{99AE83C7-EFF1-44D9-9026-0A7F9CB60AD0}" uniqueName="26" name="Mobile Usage" queryTableFieldId="27" dataDxfId="74" totalsRowDxfId="73"/>
    <tableColumn id="1" xr3:uid="{AA96DE02-28AF-400E-856A-7C8C5EE2897B}" uniqueName="1" name="Fatigue" queryTableFieldId="42" totalsRowDxfId="72"/>
    <tableColumn id="27" xr3:uid="{CA42C1A2-A139-4F1E-A4F0-15521EDDE7BA}" uniqueName="27" name="No Seatbelt" queryTableFieldId="28" dataDxfId="71" totalsRowDxfId="70"/>
    <tableColumn id="29" xr3:uid="{28E85F23-FE19-468D-A0B1-5C2BE3631020}" uniqueName="29" name="Camera Anomaly" queryTableFieldId="30" dataDxfId="69" totalsRowDxfId="68"/>
    <tableColumn id="24" xr3:uid="{51A8A5E4-9FE2-44F2-80E0-3FFB94823310}" uniqueName="24" name="Yawning" queryTableFieldId="25" dataDxfId="67" totalsRowDxfId="66"/>
    <tableColumn id="4" xr3:uid="{4CAEA0C9-8D3E-416B-9AC8-1D45F2C6A94D}" uniqueName="4" name="total" totalsRowFunction="sum" queryTableFieldId="47" dataDxfId="65" totalsRowDxfId="64">
      <calculatedColumnFormula>SUM(Soruce_file_2[[#This Row],[Overspeed]:[Yawning]])</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E14F5F-A37A-4ABD-934C-78E3AA8D9808}" name="Vehicles_List_new" displayName="Vehicles_List_new" ref="A1:D456" tableType="queryTable" totalsRowShown="0">
  <autoFilter ref="A1:D456" xr:uid="{E9E14F5F-A37A-4ABD-934C-78E3AA8D9808}"/>
  <tableColumns count="4">
    <tableColumn id="5" xr3:uid="{A03686E9-47AF-4B22-BCBA-3B3D22F47163}" uniqueName="5" name="VehicleNumber" queryTableFieldId="5" dataDxfId="103"/>
    <tableColumn id="6" xr3:uid="{81136617-EA90-465A-9B9B-E26617016FDF}" uniqueName="6" name="VehicleType" queryTableFieldId="6" dataDxfId="102"/>
    <tableColumn id="7" xr3:uid="{4F3DC991-58C0-45A1-98AB-35083CA01E9E}" uniqueName="7" name="Transporter Name" queryTableFieldId="7" dataDxfId="101"/>
    <tableColumn id="8" xr3:uid="{71CBE3B8-B32B-4B4C-B962-E51445777561}" uniqueName="8" name="GALocation" queryTableFieldId="8" dataDxfId="10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096A1-A6D2-4BAA-88F4-4DF9817C4DFF}">
  <dimension ref="A1:K24"/>
  <sheetViews>
    <sheetView zoomScale="90" zoomScaleNormal="90" workbookViewId="0">
      <selection activeCell="H2" sqref="H2"/>
    </sheetView>
  </sheetViews>
  <sheetFormatPr defaultRowHeight="14.5"/>
  <cols>
    <col min="1" max="1" width="17.1796875" bestFit="1" customWidth="1"/>
    <col min="2" max="2" width="17.81640625" bestFit="1" customWidth="1"/>
    <col min="3" max="3" width="21.90625" bestFit="1" customWidth="1"/>
    <col min="4" max="4" width="11.54296875" bestFit="1" customWidth="1"/>
    <col min="5" max="5" width="14.7265625" bestFit="1" customWidth="1"/>
    <col min="6" max="6" width="24.08984375" bestFit="1" customWidth="1"/>
    <col min="7" max="8" width="9.1796875" bestFit="1" customWidth="1"/>
    <col min="9" max="9" width="18.81640625" bestFit="1" customWidth="1"/>
    <col min="11" max="11" width="31.90625" bestFit="1" customWidth="1"/>
    <col min="14" max="14" width="17.81640625" bestFit="1" customWidth="1"/>
  </cols>
  <sheetData>
    <row r="1" spans="1:11" ht="15" thickBot="1">
      <c r="A1" s="20" t="s">
        <v>568</v>
      </c>
      <c r="B1" s="22" t="s">
        <v>561</v>
      </c>
      <c r="C1" s="22" t="s">
        <v>569</v>
      </c>
      <c r="D1" s="22" t="s">
        <v>570</v>
      </c>
      <c r="E1" s="22" t="s">
        <v>571</v>
      </c>
      <c r="F1" s="22" t="s">
        <v>572</v>
      </c>
      <c r="G1" s="24">
        <f>'Mar Day Summ'!B1</f>
        <v>46098</v>
      </c>
      <c r="H1" s="26">
        <f>'Mar Mon Summ'!B1</f>
        <v>46082</v>
      </c>
      <c r="I1" s="22" t="s">
        <v>573</v>
      </c>
    </row>
    <row r="2" spans="1:11" ht="15.5">
      <c r="A2" s="19" t="s">
        <v>15</v>
      </c>
      <c r="B2" s="21" t="s">
        <v>574</v>
      </c>
      <c r="C2" s="23">
        <v>28</v>
      </c>
      <c r="D2" s="23">
        <v>28</v>
      </c>
      <c r="E2" s="23">
        <v>0</v>
      </c>
      <c r="F2" s="23">
        <v>24</v>
      </c>
      <c r="G2" s="12">
        <f>'Mar Day Summ'!L3</f>
        <v>2</v>
      </c>
      <c r="H2" s="25">
        <f>'Mar Mon Summ'!L3</f>
        <v>28</v>
      </c>
      <c r="I2" s="27">
        <f>IFERROR(H2/C2/DAY($G$1),0)</f>
        <v>5.8823529411764705E-2</v>
      </c>
    </row>
    <row r="3" spans="1:11" ht="15.5">
      <c r="A3" s="8" t="s">
        <v>34</v>
      </c>
      <c r="B3" s="16" t="s">
        <v>575</v>
      </c>
      <c r="C3" s="17">
        <v>11</v>
      </c>
      <c r="D3" s="17">
        <v>11</v>
      </c>
      <c r="E3" s="17">
        <v>0</v>
      </c>
      <c r="F3" s="17">
        <v>10</v>
      </c>
      <c r="G3" s="13">
        <f>'Mar Day Summ'!L4</f>
        <v>0</v>
      </c>
      <c r="H3" s="14">
        <f>'Mar Mon Summ'!L4</f>
        <v>5</v>
      </c>
      <c r="I3" s="15">
        <f t="shared" ref="I3:I23" si="0">IFERROR(H3/C3/DAY($G$1),0)</f>
        <v>2.6737967914438502E-2</v>
      </c>
      <c r="K3" s="35"/>
    </row>
    <row r="4" spans="1:11" ht="15.5">
      <c r="A4" s="8" t="s">
        <v>459</v>
      </c>
      <c r="B4" s="16" t="s">
        <v>459</v>
      </c>
      <c r="C4" s="17">
        <v>20</v>
      </c>
      <c r="D4" s="17">
        <v>20</v>
      </c>
      <c r="E4" s="17">
        <v>0</v>
      </c>
      <c r="F4" s="17">
        <v>0</v>
      </c>
      <c r="G4" s="13">
        <f>'Mar Day Summ'!L5</f>
        <v>1</v>
      </c>
      <c r="H4" s="14">
        <f>'Mar Mon Summ'!L5</f>
        <v>4</v>
      </c>
      <c r="I4" s="15">
        <f t="shared" si="0"/>
        <v>1.1764705882352941E-2</v>
      </c>
    </row>
    <row r="5" spans="1:11" ht="15.5">
      <c r="A5" s="8" t="s">
        <v>414</v>
      </c>
      <c r="B5" s="16" t="s">
        <v>414</v>
      </c>
      <c r="C5" s="17">
        <v>4</v>
      </c>
      <c r="D5" s="17">
        <v>4</v>
      </c>
      <c r="E5" s="17">
        <v>0</v>
      </c>
      <c r="F5" s="17">
        <v>0</v>
      </c>
      <c r="G5" s="13">
        <f>'Mar Day Summ'!L6</f>
        <v>0</v>
      </c>
      <c r="H5" s="14">
        <f>'Mar Mon Summ'!L6</f>
        <v>0</v>
      </c>
      <c r="I5" s="15">
        <f t="shared" si="0"/>
        <v>0</v>
      </c>
    </row>
    <row r="6" spans="1:11" ht="15.5">
      <c r="A6" s="8" t="s">
        <v>260</v>
      </c>
      <c r="B6" s="16" t="s">
        <v>585</v>
      </c>
      <c r="C6" s="17">
        <v>44</v>
      </c>
      <c r="D6" s="17">
        <v>44</v>
      </c>
      <c r="E6" s="17">
        <v>0</v>
      </c>
      <c r="F6" s="17">
        <v>10</v>
      </c>
      <c r="G6" s="13">
        <f>'Mar Day Summ'!L7</f>
        <v>1</v>
      </c>
      <c r="H6" s="14">
        <f>'Mar Mon Summ'!L7</f>
        <v>14</v>
      </c>
      <c r="I6" s="15">
        <f t="shared" si="0"/>
        <v>1.871657754010695E-2</v>
      </c>
    </row>
    <row r="7" spans="1:11" ht="15.5">
      <c r="A7" s="8" t="s">
        <v>27</v>
      </c>
      <c r="B7" s="16" t="s">
        <v>576</v>
      </c>
      <c r="C7" s="17">
        <v>51</v>
      </c>
      <c r="D7" s="17">
        <v>46</v>
      </c>
      <c r="E7" s="17">
        <v>5</v>
      </c>
      <c r="F7" s="17">
        <v>42</v>
      </c>
      <c r="G7" s="13">
        <f>'Mar Day Summ'!L8</f>
        <v>1</v>
      </c>
      <c r="H7" s="14">
        <f>'Mar Mon Summ'!L8</f>
        <v>11</v>
      </c>
      <c r="I7" s="15">
        <f t="shared" si="0"/>
        <v>1.2687427912341408E-2</v>
      </c>
    </row>
    <row r="8" spans="1:11" ht="15.5">
      <c r="A8" s="8" t="s">
        <v>128</v>
      </c>
      <c r="B8" s="16" t="s">
        <v>577</v>
      </c>
      <c r="C8" s="17">
        <v>11</v>
      </c>
      <c r="D8" s="17">
        <v>11</v>
      </c>
      <c r="E8" s="17">
        <v>0</v>
      </c>
      <c r="F8" s="17">
        <v>11</v>
      </c>
      <c r="G8" s="13">
        <f>'Mar Day Summ'!L9</f>
        <v>0</v>
      </c>
      <c r="H8" s="14">
        <f>'Mar Mon Summ'!L9</f>
        <v>1</v>
      </c>
      <c r="I8" s="15">
        <f t="shared" si="0"/>
        <v>5.3475935828877011E-3</v>
      </c>
      <c r="K8" s="35"/>
    </row>
    <row r="9" spans="1:11" ht="15.5">
      <c r="A9" s="8" t="s">
        <v>23</v>
      </c>
      <c r="B9" s="16" t="s">
        <v>583</v>
      </c>
      <c r="C9" s="17">
        <v>14</v>
      </c>
      <c r="D9" s="17">
        <v>11</v>
      </c>
      <c r="E9" s="17">
        <v>3</v>
      </c>
      <c r="F9" s="17">
        <v>10</v>
      </c>
      <c r="G9" s="13">
        <f>'Mar Day Summ'!L10</f>
        <v>0</v>
      </c>
      <c r="H9" s="14">
        <f>'Mar Mon Summ'!L10</f>
        <v>0</v>
      </c>
      <c r="I9" s="15">
        <f t="shared" si="0"/>
        <v>0</v>
      </c>
    </row>
    <row r="10" spans="1:11" ht="15.5">
      <c r="A10" s="8" t="s">
        <v>58</v>
      </c>
      <c r="B10" s="16" t="s">
        <v>578</v>
      </c>
      <c r="C10" s="17">
        <v>13</v>
      </c>
      <c r="D10" s="17">
        <v>13</v>
      </c>
      <c r="E10" s="17">
        <v>0</v>
      </c>
      <c r="F10" s="17">
        <v>8</v>
      </c>
      <c r="G10" s="13">
        <f>'Mar Day Summ'!L11</f>
        <v>0</v>
      </c>
      <c r="H10" s="14">
        <f>'Mar Mon Summ'!L11</f>
        <v>2</v>
      </c>
      <c r="I10" s="15">
        <f t="shared" si="0"/>
        <v>9.0497737556561094E-3</v>
      </c>
    </row>
    <row r="11" spans="1:11" ht="15.5">
      <c r="A11" s="8" t="s">
        <v>10</v>
      </c>
      <c r="B11" s="16" t="s">
        <v>10</v>
      </c>
      <c r="C11" s="17">
        <v>25</v>
      </c>
      <c r="D11" s="17">
        <v>22</v>
      </c>
      <c r="E11" s="17">
        <v>3</v>
      </c>
      <c r="F11" s="17">
        <v>22</v>
      </c>
      <c r="G11" s="13">
        <f>'Mar Day Summ'!L12</f>
        <v>1</v>
      </c>
      <c r="H11" s="14">
        <f>'Mar Mon Summ'!L12</f>
        <v>13</v>
      </c>
      <c r="I11" s="15">
        <f t="shared" si="0"/>
        <v>3.0588235294117649E-2</v>
      </c>
    </row>
    <row r="12" spans="1:11" ht="15.5">
      <c r="A12" s="8" t="s">
        <v>18</v>
      </c>
      <c r="B12" s="18" t="s">
        <v>587</v>
      </c>
      <c r="C12" s="17">
        <v>23</v>
      </c>
      <c r="D12" s="17">
        <v>23</v>
      </c>
      <c r="E12" s="17">
        <v>0</v>
      </c>
      <c r="F12" s="17">
        <v>23</v>
      </c>
      <c r="G12" s="13">
        <f>'Mar Day Summ'!L13</f>
        <v>2</v>
      </c>
      <c r="H12" s="14">
        <f>'Mar Mon Summ'!L13</f>
        <v>17</v>
      </c>
      <c r="I12" s="15">
        <f t="shared" si="0"/>
        <v>4.3478260869565216E-2</v>
      </c>
    </row>
    <row r="13" spans="1:11" ht="15.5">
      <c r="A13" s="8" t="s">
        <v>42</v>
      </c>
      <c r="B13" s="16" t="s">
        <v>42</v>
      </c>
      <c r="C13" s="17">
        <v>1</v>
      </c>
      <c r="D13" s="17">
        <v>1</v>
      </c>
      <c r="E13" s="17">
        <v>0</v>
      </c>
      <c r="F13" s="17">
        <v>1</v>
      </c>
      <c r="G13" s="13">
        <f>'Mar Day Summ'!L14</f>
        <v>0</v>
      </c>
      <c r="H13" s="14">
        <f>'Mar Mon Summ'!L14</f>
        <v>1</v>
      </c>
      <c r="I13" s="15">
        <f t="shared" si="0"/>
        <v>5.8823529411764705E-2</v>
      </c>
    </row>
    <row r="14" spans="1:11" ht="15.5">
      <c r="A14" s="8" t="s">
        <v>417</v>
      </c>
      <c r="B14" s="16" t="s">
        <v>586</v>
      </c>
      <c r="C14" s="17">
        <v>39</v>
      </c>
      <c r="D14" s="17">
        <v>39</v>
      </c>
      <c r="E14" s="17">
        <v>0</v>
      </c>
      <c r="F14" s="17">
        <v>0</v>
      </c>
      <c r="G14" s="13">
        <f>'Mar Day Summ'!L15</f>
        <v>0</v>
      </c>
      <c r="H14" s="14">
        <f>'Mar Mon Summ'!L15</f>
        <v>14</v>
      </c>
      <c r="I14" s="15">
        <f t="shared" si="0"/>
        <v>2.1116138763197588E-2</v>
      </c>
    </row>
    <row r="15" spans="1:11" ht="15.5">
      <c r="A15" s="8" t="s">
        <v>21</v>
      </c>
      <c r="B15" s="16" t="s">
        <v>579</v>
      </c>
      <c r="C15" s="17">
        <v>58</v>
      </c>
      <c r="D15" s="17">
        <v>54</v>
      </c>
      <c r="E15" s="17">
        <v>4</v>
      </c>
      <c r="F15" s="17">
        <v>51</v>
      </c>
      <c r="G15" s="13">
        <f>'Mar Day Summ'!L16</f>
        <v>2</v>
      </c>
      <c r="H15" s="14">
        <f>'Mar Mon Summ'!L16</f>
        <v>18</v>
      </c>
      <c r="I15" s="15">
        <f t="shared" si="0"/>
        <v>1.8255578093306288E-2</v>
      </c>
    </row>
    <row r="16" spans="1:11" ht="15.5">
      <c r="A16" s="8" t="s">
        <v>29</v>
      </c>
      <c r="B16" s="16" t="s">
        <v>580</v>
      </c>
      <c r="C16" s="17">
        <v>18</v>
      </c>
      <c r="D16" s="17">
        <v>17</v>
      </c>
      <c r="E16" s="17">
        <v>1</v>
      </c>
      <c r="F16" s="17">
        <v>16</v>
      </c>
      <c r="G16" s="13">
        <f>'Mar Day Summ'!L17</f>
        <v>0</v>
      </c>
      <c r="H16" s="14">
        <f>'Mar Mon Summ'!L17</f>
        <v>2</v>
      </c>
      <c r="I16" s="15">
        <f t="shared" si="0"/>
        <v>6.5359477124183E-3</v>
      </c>
    </row>
    <row r="17" spans="1:9" ht="15.5">
      <c r="A17" s="8" t="s">
        <v>7</v>
      </c>
      <c r="B17" s="16" t="s">
        <v>7</v>
      </c>
      <c r="C17" s="17">
        <v>19</v>
      </c>
      <c r="D17" s="17">
        <v>17</v>
      </c>
      <c r="E17" s="17">
        <v>2</v>
      </c>
      <c r="F17" s="17">
        <v>15</v>
      </c>
      <c r="G17" s="13">
        <f>'Mar Day Summ'!L18</f>
        <v>1</v>
      </c>
      <c r="H17" s="14">
        <f>'Mar Mon Summ'!L18</f>
        <v>17</v>
      </c>
      <c r="I17" s="15">
        <f t="shared" si="0"/>
        <v>5.2631578947368418E-2</v>
      </c>
    </row>
    <row r="18" spans="1:9" ht="15.5">
      <c r="A18" s="8" t="s">
        <v>147</v>
      </c>
      <c r="B18" s="16" t="s">
        <v>147</v>
      </c>
      <c r="C18" s="17">
        <v>2</v>
      </c>
      <c r="D18" s="17">
        <v>2</v>
      </c>
      <c r="E18" s="17">
        <v>0</v>
      </c>
      <c r="F18" s="17">
        <v>1</v>
      </c>
      <c r="G18" s="13">
        <f>'Mar Day Summ'!L19</f>
        <v>0</v>
      </c>
      <c r="H18" s="14">
        <f>'Mar Mon Summ'!L19</f>
        <v>5</v>
      </c>
      <c r="I18" s="15">
        <f t="shared" si="0"/>
        <v>0.14705882352941177</v>
      </c>
    </row>
    <row r="19" spans="1:9" ht="15.5">
      <c r="A19" s="8" t="s">
        <v>88</v>
      </c>
      <c r="B19" s="16" t="s">
        <v>581</v>
      </c>
      <c r="C19" s="17">
        <v>15</v>
      </c>
      <c r="D19" s="17">
        <v>15</v>
      </c>
      <c r="E19" s="17">
        <v>0</v>
      </c>
      <c r="F19" s="17">
        <v>14</v>
      </c>
      <c r="G19" s="13">
        <f>'Mar Day Summ'!L20</f>
        <v>0</v>
      </c>
      <c r="H19" s="14">
        <f>'Mar Mon Summ'!L20</f>
        <v>2</v>
      </c>
      <c r="I19" s="15">
        <f t="shared" si="0"/>
        <v>7.8431372549019607E-3</v>
      </c>
    </row>
    <row r="20" spans="1:9" ht="15.5">
      <c r="A20" s="8" t="s">
        <v>97</v>
      </c>
      <c r="B20" s="16" t="s">
        <v>97</v>
      </c>
      <c r="C20" s="17">
        <v>11</v>
      </c>
      <c r="D20" s="17">
        <v>11</v>
      </c>
      <c r="E20" s="17">
        <v>0</v>
      </c>
      <c r="F20" s="17">
        <v>9</v>
      </c>
      <c r="G20" s="13">
        <f>'Mar Day Summ'!L21</f>
        <v>0</v>
      </c>
      <c r="H20" s="14">
        <f>'Mar Mon Summ'!L21</f>
        <v>1</v>
      </c>
      <c r="I20" s="15">
        <f t="shared" si="0"/>
        <v>5.3475935828877011E-3</v>
      </c>
    </row>
    <row r="21" spans="1:9" ht="15.5">
      <c r="A21" s="8" t="s">
        <v>582</v>
      </c>
      <c r="B21" s="16" t="s">
        <v>187</v>
      </c>
      <c r="C21" s="17">
        <v>5</v>
      </c>
      <c r="D21" s="17">
        <v>5</v>
      </c>
      <c r="E21" s="17">
        <v>0</v>
      </c>
      <c r="F21" s="17">
        <v>5</v>
      </c>
      <c r="G21" s="13">
        <f>'Mar Day Summ'!L22</f>
        <v>0</v>
      </c>
      <c r="H21" s="14">
        <f>'Mar Mon Summ'!L22</f>
        <v>0</v>
      </c>
      <c r="I21" s="15">
        <f t="shared" si="0"/>
        <v>0</v>
      </c>
    </row>
    <row r="22" spans="1:9" ht="15.5">
      <c r="A22" s="8" t="s">
        <v>32</v>
      </c>
      <c r="B22" s="16" t="s">
        <v>584</v>
      </c>
      <c r="C22" s="17">
        <v>24</v>
      </c>
      <c r="D22" s="17">
        <v>23</v>
      </c>
      <c r="E22" s="17">
        <v>1</v>
      </c>
      <c r="F22" s="17">
        <v>20</v>
      </c>
      <c r="G22" s="13">
        <f>'Mar Day Summ'!L23</f>
        <v>1</v>
      </c>
      <c r="H22" s="14">
        <f>'Mar Mon Summ'!L23</f>
        <v>1</v>
      </c>
      <c r="I22" s="15">
        <f t="shared" si="0"/>
        <v>2.4509803921568627E-3</v>
      </c>
    </row>
    <row r="23" spans="1:9" ht="16" thickBot="1">
      <c r="A23" s="28" t="s">
        <v>47</v>
      </c>
      <c r="B23" s="29" t="s">
        <v>47</v>
      </c>
      <c r="C23" s="30">
        <v>13</v>
      </c>
      <c r="D23" s="30">
        <v>12</v>
      </c>
      <c r="E23" s="30">
        <v>1</v>
      </c>
      <c r="F23" s="30">
        <v>9</v>
      </c>
      <c r="G23" s="32">
        <f>'Mar Day Summ'!L24</f>
        <v>0</v>
      </c>
      <c r="H23" s="34">
        <f>'Mar Mon Summ'!L24</f>
        <v>3</v>
      </c>
      <c r="I23" s="15">
        <f t="shared" si="0"/>
        <v>1.3574660633484163E-2</v>
      </c>
    </row>
    <row r="24" spans="1:9" ht="19" thickBot="1">
      <c r="A24" s="36" t="s">
        <v>559</v>
      </c>
      <c r="B24" s="37"/>
      <c r="C24" s="31">
        <f>SUM(C2:C23)</f>
        <v>449</v>
      </c>
      <c r="D24" s="31">
        <f t="shared" ref="D24:H24" si="1">SUM(D2:D23)</f>
        <v>429</v>
      </c>
      <c r="E24" s="31">
        <f t="shared" si="1"/>
        <v>20</v>
      </c>
      <c r="F24" s="31">
        <f t="shared" si="1"/>
        <v>301</v>
      </c>
      <c r="G24" s="31">
        <f t="shared" si="1"/>
        <v>12</v>
      </c>
      <c r="H24" s="31">
        <f t="shared" si="1"/>
        <v>159</v>
      </c>
      <c r="I24" s="33">
        <f>IFERROR(H24/C24/DAY($G$1),0)</f>
        <v>2.0830603956504649E-2</v>
      </c>
    </row>
  </sheetData>
  <autoFilter ref="A1:I24" xr:uid="{CCD096A1-A6D2-4BAA-88F4-4DF9817C4DFF}"/>
  <conditionalFormatting sqref="A2:A23">
    <cfRule type="duplicateValues" dxfId="99" priority="1"/>
    <cfRule type="duplicateValues" dxfId="98" priority="2"/>
  </conditionalFormatting>
  <conditionalFormatting sqref="I2:I24">
    <cfRule type="colorScale" priority="4">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4E9EA-3ABD-46CE-9BF1-386AFFFC47EF}">
  <dimension ref="A1:H15"/>
  <sheetViews>
    <sheetView showGridLines="0" zoomScale="70" zoomScaleNormal="70" workbookViewId="0">
      <selection activeCell="I9" sqref="I9"/>
    </sheetView>
  </sheetViews>
  <sheetFormatPr defaultRowHeight="14.5"/>
  <cols>
    <col min="1" max="1" width="10.7265625" bestFit="1" customWidth="1"/>
    <col min="2" max="2" width="20.6328125" bestFit="1" customWidth="1"/>
    <col min="3" max="3" width="25.81640625" customWidth="1"/>
    <col min="4" max="4" width="39.54296875" customWidth="1"/>
    <col min="5" max="5" width="13.6328125" bestFit="1" customWidth="1"/>
    <col min="6" max="6" width="22.26953125" bestFit="1" customWidth="1"/>
    <col min="7" max="7" width="11.90625" customWidth="1"/>
    <col min="8" max="8" width="79.7265625" customWidth="1"/>
  </cols>
  <sheetData>
    <row r="1" spans="1:8">
      <c r="A1" s="73" t="s">
        <v>597</v>
      </c>
      <c r="B1" s="74"/>
      <c r="C1" s="74"/>
      <c r="D1" s="74"/>
      <c r="E1" s="75" t="s">
        <v>598</v>
      </c>
      <c r="F1" s="76"/>
      <c r="G1" s="76"/>
      <c r="H1" s="76"/>
    </row>
    <row r="2" spans="1:8">
      <c r="A2" s="74"/>
      <c r="B2" s="74"/>
      <c r="C2" s="74"/>
      <c r="D2" s="74"/>
      <c r="E2" s="77"/>
      <c r="F2" s="77"/>
      <c r="G2" s="77"/>
      <c r="H2" s="77"/>
    </row>
    <row r="3" spans="1:8">
      <c r="A3" s="45" t="s">
        <v>568</v>
      </c>
      <c r="B3" s="46" t="s">
        <v>595</v>
      </c>
      <c r="C3" s="71" t="s">
        <v>590</v>
      </c>
      <c r="D3" s="72"/>
      <c r="E3" s="43" t="s">
        <v>593</v>
      </c>
      <c r="F3" s="43" t="s">
        <v>596</v>
      </c>
      <c r="G3" s="69" t="s">
        <v>588</v>
      </c>
      <c r="H3" s="70"/>
    </row>
    <row r="4" spans="1:8">
      <c r="A4" s="38" t="s">
        <v>147</v>
      </c>
      <c r="B4" s="39">
        <v>0.14705882352941177</v>
      </c>
      <c r="C4" s="40" t="s">
        <v>591</v>
      </c>
      <c r="D4" s="42">
        <f>MAX('Mail Summ'!I2:I23)</f>
        <v>0.14705882352941177</v>
      </c>
      <c r="E4" s="55" t="s">
        <v>23</v>
      </c>
      <c r="F4" s="60">
        <v>0</v>
      </c>
      <c r="G4" s="55" t="s">
        <v>589</v>
      </c>
      <c r="H4" s="56">
        <f>MIN('Mail Summ'!I2:I23)</f>
        <v>0</v>
      </c>
    </row>
    <row r="5" spans="1:8">
      <c r="A5" s="38" t="s">
        <v>15</v>
      </c>
      <c r="B5" s="39">
        <v>5.8823529411764705E-2</v>
      </c>
      <c r="C5" s="40" t="s">
        <v>568</v>
      </c>
      <c r="D5" s="42" t="str" cm="1">
        <f t="array" ref="D5">_xlfn.TEXTJOIN(", ",TRUE,IF('Mail Summ'!I2:I23=D4,'Mail Summ'!A2:A23,""))</f>
        <v>Kolar</v>
      </c>
      <c r="E5" s="55" t="s">
        <v>414</v>
      </c>
      <c r="F5" s="63">
        <v>0</v>
      </c>
      <c r="G5" s="57" t="s">
        <v>568</v>
      </c>
      <c r="H5" s="51" t="str" cm="1">
        <f t="array" ref="H5">_xlfn.TEXTJOIN(", ",TRUE,IF('Mail Summ'!I2:I23='Mail Summ2'!H4,'Mail Summ'!A2:A23,""))</f>
        <v>Begusarai, Chittoor, RMN</v>
      </c>
    </row>
    <row r="6" spans="1:8">
      <c r="A6" s="38" t="s">
        <v>42</v>
      </c>
      <c r="B6" s="39">
        <v>5.8823529411764705E-2</v>
      </c>
      <c r="C6" s="40" t="s">
        <v>592</v>
      </c>
      <c r="D6" s="42">
        <f>MAX('Mail Summ'!G2:G23)</f>
        <v>2</v>
      </c>
      <c r="E6" s="55" t="s">
        <v>582</v>
      </c>
      <c r="F6" s="52">
        <v>0</v>
      </c>
      <c r="G6" s="57" t="s">
        <v>592</v>
      </c>
      <c r="H6" s="51">
        <f>MIN('Mail Summ'!G2:G23)</f>
        <v>0</v>
      </c>
    </row>
    <row r="7" spans="1:8" ht="29">
      <c r="A7" s="61" t="s">
        <v>7</v>
      </c>
      <c r="B7" s="64">
        <v>5.2631578947368418E-2</v>
      </c>
      <c r="C7" s="65" t="s">
        <v>568</v>
      </c>
      <c r="D7" s="65" t="str" cm="1">
        <f t="array" ref="D7">_xlfn.TEXTJOIN(", ",TRUE,IF('Mail Summ'!G2:G23=D6,'Mail Summ'!A2:A23,""))</f>
        <v>AKT, Ennore, KNCP</v>
      </c>
      <c r="E7" s="55" t="s">
        <v>32</v>
      </c>
      <c r="F7" s="52">
        <v>2.4509803921568627E-3</v>
      </c>
      <c r="G7" s="62" t="s">
        <v>568</v>
      </c>
      <c r="H7" s="66" t="str" cm="1">
        <f t="array" ref="H7">_xlfn.TEXTJOIN(", ",TRUE,IF('Mail Summ'!G2:G23=H6,'Mail Summ'!A2:A23,""))</f>
        <v>ANK, Begusarai, BKR, Chittoor, CHK, Hazira, Jalandhar, KNV, Kolar, MMC, Nellore, RMN, Vellore</v>
      </c>
    </row>
    <row r="8" spans="1:8">
      <c r="A8" s="38" t="s">
        <v>18</v>
      </c>
      <c r="B8" s="39">
        <v>4.3478260869565216E-2</v>
      </c>
      <c r="C8" s="41"/>
      <c r="D8" s="41"/>
      <c r="E8" s="55" t="s">
        <v>128</v>
      </c>
      <c r="F8" s="52">
        <v>5.3475935828877011E-3</v>
      </c>
      <c r="G8" s="44"/>
      <c r="H8" s="44"/>
    </row>
    <row r="9" spans="1:8">
      <c r="A9" s="38" t="s">
        <v>10</v>
      </c>
      <c r="B9" s="39">
        <v>3.0588235294117649E-2</v>
      </c>
      <c r="C9" s="47"/>
      <c r="D9" s="47"/>
      <c r="E9" s="55" t="s">
        <v>97</v>
      </c>
      <c r="F9" s="52">
        <v>5.3475935828877011E-3</v>
      </c>
      <c r="G9" s="44"/>
      <c r="H9" s="44"/>
    </row>
    <row r="10" spans="1:8">
      <c r="A10" s="38" t="s">
        <v>34</v>
      </c>
      <c r="B10" s="39">
        <v>2.6737967914438502E-2</v>
      </c>
      <c r="C10" s="47"/>
      <c r="D10" s="47"/>
      <c r="E10" s="55" t="s">
        <v>29</v>
      </c>
      <c r="F10" s="52">
        <v>6.5359477124183E-3</v>
      </c>
      <c r="G10" s="44"/>
      <c r="H10" s="44"/>
    </row>
    <row r="11" spans="1:8">
      <c r="A11" s="49" t="s">
        <v>417</v>
      </c>
      <c r="B11" s="50">
        <v>2.1116138763197588E-2</v>
      </c>
      <c r="C11" s="48"/>
      <c r="D11" s="48"/>
      <c r="E11" s="55" t="s">
        <v>88</v>
      </c>
      <c r="F11" s="60">
        <v>7.8431372549019607E-3</v>
      </c>
      <c r="G11" s="44"/>
      <c r="H11" s="44"/>
    </row>
    <row r="12" spans="1:8">
      <c r="A12" s="49" t="s">
        <v>260</v>
      </c>
      <c r="B12" s="50">
        <v>1.871657754010695E-2</v>
      </c>
      <c r="C12" s="48"/>
      <c r="D12" s="48"/>
      <c r="E12" s="55" t="s">
        <v>58</v>
      </c>
      <c r="F12" s="60">
        <v>9.0497737556561094E-3</v>
      </c>
      <c r="G12" s="44"/>
      <c r="H12" s="44"/>
    </row>
    <row r="13" spans="1:8">
      <c r="A13" s="38" t="s">
        <v>21</v>
      </c>
      <c r="B13" s="39">
        <v>1.8255578093306288E-2</v>
      </c>
      <c r="C13" s="48"/>
      <c r="D13" s="48"/>
      <c r="E13" s="55" t="s">
        <v>459</v>
      </c>
      <c r="F13" s="52">
        <v>1.1764705882352941E-2</v>
      </c>
      <c r="G13" s="44"/>
      <c r="H13" s="44"/>
    </row>
    <row r="14" spans="1:8">
      <c r="A14" s="49" t="s">
        <v>47</v>
      </c>
      <c r="B14" s="50">
        <v>1.3574660633484163E-2</v>
      </c>
      <c r="C14" s="48"/>
      <c r="D14" s="48"/>
      <c r="E14" s="55" t="s">
        <v>27</v>
      </c>
      <c r="F14" s="52">
        <v>1.2687427912341408E-2</v>
      </c>
    </row>
    <row r="15" spans="1:8">
      <c r="A15" s="49" t="s">
        <v>594</v>
      </c>
      <c r="B15" s="50">
        <v>0.14705882352941177</v>
      </c>
      <c r="C15" s="48"/>
      <c r="D15" s="48"/>
      <c r="E15" s="54" t="s">
        <v>594</v>
      </c>
      <c r="F15" s="53">
        <v>6.1027160075602979E-2</v>
      </c>
    </row>
  </sheetData>
  <mergeCells count="4">
    <mergeCell ref="G3:H3"/>
    <mergeCell ref="C3:D3"/>
    <mergeCell ref="A1:D2"/>
    <mergeCell ref="E1:H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9E66-18E1-4420-B278-D43FC2485762}">
  <dimension ref="A1:L25"/>
  <sheetViews>
    <sheetView zoomScale="78" workbookViewId="0">
      <selection activeCell="B1" sqref="B1"/>
    </sheetView>
  </sheetViews>
  <sheetFormatPr defaultRowHeight="14.5"/>
  <cols>
    <col min="1" max="1" width="18.453125" bestFit="1" customWidth="1"/>
    <col min="2" max="2" width="18.54296875" customWidth="1"/>
    <col min="3" max="3" width="12.81640625" customWidth="1"/>
    <col min="4" max="4" width="10.90625" customWidth="1"/>
    <col min="5" max="5" width="12.453125" bestFit="1" customWidth="1"/>
    <col min="6" max="6" width="12.90625" customWidth="1"/>
    <col min="7" max="7" width="12.81640625" customWidth="1"/>
    <col min="8" max="8" width="18.08984375" bestFit="1" customWidth="1"/>
    <col min="9" max="9" width="15.1796875" bestFit="1" customWidth="1"/>
    <col min="10" max="10" width="16.81640625" bestFit="1" customWidth="1"/>
    <col min="11" max="11" width="12" customWidth="1"/>
    <col min="12" max="12" width="13.7265625" customWidth="1"/>
    <col min="13" max="13" width="12" customWidth="1"/>
  </cols>
  <sheetData>
    <row r="1" spans="1:12">
      <c r="A1" s="9" t="s">
        <v>560</v>
      </c>
      <c r="B1" s="10">
        <f>MAX('Soruce file '!B:B)-1</f>
        <v>46098</v>
      </c>
    </row>
    <row r="2" spans="1:12">
      <c r="A2" s="7" t="s">
        <v>561</v>
      </c>
      <c r="B2" s="7" t="s">
        <v>16</v>
      </c>
      <c r="C2" s="7" t="s">
        <v>19</v>
      </c>
      <c r="D2" s="7" t="s">
        <v>11</v>
      </c>
      <c r="E2" s="7" t="s">
        <v>562</v>
      </c>
      <c r="F2" s="7" t="s">
        <v>563</v>
      </c>
      <c r="G2" s="7" t="s">
        <v>564</v>
      </c>
      <c r="H2" s="7" t="s">
        <v>565</v>
      </c>
      <c r="I2" s="7" t="s">
        <v>24</v>
      </c>
      <c r="J2" s="7" t="s">
        <v>566</v>
      </c>
      <c r="K2" s="7" t="s">
        <v>558</v>
      </c>
      <c r="L2" s="7" t="s">
        <v>559</v>
      </c>
    </row>
    <row r="3" spans="1:12">
      <c r="A3" s="8" t="s">
        <v>15</v>
      </c>
      <c r="B3" s="17">
        <f>IFERROR(SUMIFS(INDEX('Soruce file '!$A:$Z, 0, MATCH("Mobile Usage", 'Soruce file '!$1:$1, 0)), INDEX('Soruce file '!$A:$Z, 0, MATCH("Date", 'Soruce file '!$1:$1, 0)), $B$1, INDEX('Soruce file '!$A:$Z, 0, MATCH("GA*", 'Soruce file '!$1:$1, 0)), $A3), 0)</f>
        <v>1</v>
      </c>
      <c r="C3" s="17">
        <f>IFERROR(SUMIFS(INDEX('Soruce file '!$A:$Z, 0, MATCH("No Seatbelt", 'Soruce file '!$1:$1, 0)), INDEX('Soruce file '!$A:$Z, 0, MATCH("Date", 'Soruce file '!$1:$1, 0)), $B$1, INDEX('Soruce file '!$A:$Z, 0, MATCH("GA*", 'Soruce file '!$1:$1, 0)), $A3), 0)</f>
        <v>0</v>
      </c>
      <c r="D3" s="17">
        <f>IFERROR(SUMIFS(INDEX('Soruce file '!$A:$Z, 0, MATCH("Yawning", 'Soruce file '!$1:$1, 0)), INDEX('Soruce file '!$A:$Z, 0, MATCH("Date", 'Soruce file '!$1:$1, 0)), $B$1, INDEX('Soruce file '!$A:$Z, 0, MATCH("GA*", 'Soruce file '!$1:$1, 0)), $A3), 0)</f>
        <v>0</v>
      </c>
      <c r="E3" s="17">
        <f>IFERROR(SUMIFS(INDEX('Soruce file '!$A:$Z, 0, MATCH("Fatigue", 'Soruce file '!$1:$1, 0)), INDEX('Soruce file '!$A:$Z, 0, MATCH("Date", 'Soruce file '!$1:$1, 0)), $B$1, INDEX('Soruce file '!$A:$Z, 0, MATCH("GA*", 'Soruce file '!$1:$1, 0)), $A3), 0)</f>
        <v>0</v>
      </c>
      <c r="F3" s="17">
        <f>IFERROR(SUMIFS(INDEX('Soruce file '!$A:$Z, 0, MATCH("Harsh Braking", 'Soruce file '!$1:$1, 0)), INDEX('Soruce file '!$A:$Z, 0, MATCH("Date", 'Soruce file '!$1:$1, 0)), $B$1, INDEX('Soruce file '!$A:$Z, 0, MATCH("GA*", 'Soruce file '!$1:$1, 0)), $A3), 0)</f>
        <v>0</v>
      </c>
      <c r="G3" s="17">
        <f>IFERROR(SUMIFS(INDEX('Soruce file '!$A:$Z, 0, MATCH("Overspeed", 'Soruce file '!$1:$1, 0)), INDEX('Soruce file '!$A:$Z, 0, MATCH("Date", 'Soruce file '!$1:$1, 0)), $B$1, INDEX('Soruce file '!$A:$Z, 0, MATCH("GA*", 'Soruce file '!$1:$1, 0)), $A3), 0)</f>
        <v>1</v>
      </c>
      <c r="H3" s="17">
        <f>IFERROR(SUMIFS(INDEX('Soruce file '!$A:$Z, 0, MATCH("Sudden Acceleration", 'Soruce file '!$1:$1, 0)), INDEX('Soruce file '!$A:$Z, 0, MATCH("Date", 'Soruce file '!$1:$1, 0)), $B$1, INDEX('Soruce file '!$A:$Z, 0, MATCH("GA*", 'Soruce file '!$1:$1, 0)), $A3), 0)</f>
        <v>0</v>
      </c>
      <c r="I3" s="17">
        <f>IFERROR(SUMIFS(INDEX('Soruce file '!$A:$Z, 0, MATCH("Camera Anomaly", 'Soruce file '!$1:$1, 0)), INDEX('Soruce file '!$A:$Z, 0, MATCH("Date", 'Soruce file '!$1:$1, 0)), $B$1, INDEX('Soruce file '!$A:$Z, 0, MATCH("GA*", 'Soruce file '!$1:$1, 0)), $A3), 0)</f>
        <v>0</v>
      </c>
      <c r="J3" s="17">
        <f>IFERROR(SUMIFS(INDEX('Soruce file '!$A:$Z, 0, MATCH("CD", 'Soruce file '!$1:$1, 0)), INDEX('Soruce file '!$A:$Z, 0, MATCH("Date", 'Soruce file '!$1:$1, 0)), $B$1, INDEX('Soruce file '!$A:$Z, 0, MATCH("GA*", 'Soruce file '!$1:$1, 0)), $A3), 0)</f>
        <v>0</v>
      </c>
      <c r="K3" s="17">
        <f>IFERROR(SUMIFS(INDEX('Soruce file '!$A:$Z, 0, MATCH("Night Driving", 'Soruce file '!$1:$1, 0)), INDEX('Soruce file '!$A:$Z, 0, MATCH("Date", 'Soruce file '!$1:$1, 0)), $B$1, INDEX('Soruce file '!$A:$Z, 0, MATCH("GA*", 'Soruce file '!$1:$1, 0)), $A3), 0)</f>
        <v>0</v>
      </c>
      <c r="L3" s="17">
        <f>SUM(B3:K3)</f>
        <v>2</v>
      </c>
    </row>
    <row r="4" spans="1:12">
      <c r="A4" s="8" t="s">
        <v>34</v>
      </c>
      <c r="B4" s="17">
        <f>IFERROR(SUMIFS(INDEX('Soruce file '!$A:$Z, 0, MATCH("Mobile Usage", 'Soruce file '!$1:$1, 0)), INDEX('Soruce file '!$A:$Z, 0, MATCH("Date", 'Soruce file '!$1:$1, 0)), $B$1, INDEX('Soruce file '!$A:$Z, 0, MATCH("GA*", 'Soruce file '!$1:$1, 0)), $A4), 0)</f>
        <v>0</v>
      </c>
      <c r="C4" s="17">
        <f>IFERROR(SUMIFS(INDEX('Soruce file '!$A:$Z, 0, MATCH("No Seatbelt", 'Soruce file '!$1:$1, 0)), INDEX('Soruce file '!$A:$Z, 0, MATCH("Date", 'Soruce file '!$1:$1, 0)), $B$1, INDEX('Soruce file '!$A:$Z, 0, MATCH("GA*", 'Soruce file '!$1:$1, 0)), $A4), 0)</f>
        <v>0</v>
      </c>
      <c r="D4" s="17">
        <f>IFERROR(SUMIFS(INDEX('Soruce file '!$A:$Z, 0, MATCH("Yawning", 'Soruce file '!$1:$1, 0)), INDEX('Soruce file '!$A:$Z, 0, MATCH("Date", 'Soruce file '!$1:$1, 0)), $B$1, INDEX('Soruce file '!$A:$Z, 0, MATCH("GA*", 'Soruce file '!$1:$1, 0)), $A4), 0)</f>
        <v>0</v>
      </c>
      <c r="E4" s="17">
        <f>IFERROR(SUMIFS(INDEX('Soruce file '!$A:$Z, 0, MATCH("Fatigue", 'Soruce file '!$1:$1, 0)), INDEX('Soruce file '!$A:$Z, 0, MATCH("Date", 'Soruce file '!$1:$1, 0)), $B$1, INDEX('Soruce file '!$A:$Z, 0, MATCH("GA*", 'Soruce file '!$1:$1, 0)), $A4), 0)</f>
        <v>0</v>
      </c>
      <c r="F4" s="17">
        <f>IFERROR(SUMIFS(INDEX('Soruce file '!$A:$Z, 0, MATCH("Harsh Braking", 'Soruce file '!$1:$1, 0)), INDEX('Soruce file '!$A:$Z, 0, MATCH("Date", 'Soruce file '!$1:$1, 0)), $B$1, INDEX('Soruce file '!$A:$Z, 0, MATCH("GA*", 'Soruce file '!$1:$1, 0)), $A4), 0)</f>
        <v>0</v>
      </c>
      <c r="G4" s="17">
        <f>IFERROR(SUMIFS(INDEX('Soruce file '!$A:$Z, 0, MATCH("Overspeed", 'Soruce file '!$1:$1, 0)), INDEX('Soruce file '!$A:$Z, 0, MATCH("Date", 'Soruce file '!$1:$1, 0)), $B$1, INDEX('Soruce file '!$A:$Z, 0, MATCH("GA*", 'Soruce file '!$1:$1, 0)), $A4), 0)</f>
        <v>0</v>
      </c>
      <c r="H4" s="17">
        <f>IFERROR(SUMIFS(INDEX('Soruce file '!$A:$Z, 0, MATCH("Sudden Acceleration", 'Soruce file '!$1:$1, 0)), INDEX('Soruce file '!$A:$Z, 0, MATCH("Date", 'Soruce file '!$1:$1, 0)), $B$1, INDEX('Soruce file '!$A:$Z, 0, MATCH("GA*", 'Soruce file '!$1:$1, 0)), $A4), 0)</f>
        <v>0</v>
      </c>
      <c r="I4" s="17">
        <f>IFERROR(SUMIFS(INDEX('Soruce file '!$A:$Z, 0, MATCH("Camera Anomaly", 'Soruce file '!$1:$1, 0)), INDEX('Soruce file '!$A:$Z, 0, MATCH("Date", 'Soruce file '!$1:$1, 0)), $B$1, INDEX('Soruce file '!$A:$Z, 0, MATCH("GA*", 'Soruce file '!$1:$1, 0)), $A4), 0)</f>
        <v>0</v>
      </c>
      <c r="J4" s="17">
        <f>IFERROR(SUMIFS(INDEX('Soruce file '!$A:$Z, 0, MATCH("CD", 'Soruce file '!$1:$1, 0)), INDEX('Soruce file '!$A:$Z, 0, MATCH("Date", 'Soruce file '!$1:$1, 0)), $B$1, INDEX('Soruce file '!$A:$Z, 0, MATCH("GA*", 'Soruce file '!$1:$1, 0)), $A4), 0)</f>
        <v>0</v>
      </c>
      <c r="K4" s="17">
        <f>IFERROR(SUMIFS(INDEX('Soruce file '!$A:$Z, 0, MATCH("Night Driving", 'Soruce file '!$1:$1, 0)), INDEX('Soruce file '!$A:$Z, 0, MATCH("Date", 'Soruce file '!$1:$1, 0)), $B$1, INDEX('Soruce file '!$A:$Z, 0, MATCH("GA*", 'Soruce file '!$1:$1, 0)), $A4), 0)</f>
        <v>0</v>
      </c>
      <c r="L4" s="17">
        <f t="shared" ref="L4:L24" si="0">SUM(B4:K4)</f>
        <v>0</v>
      </c>
    </row>
    <row r="5" spans="1:12">
      <c r="A5" s="8" t="s">
        <v>459</v>
      </c>
      <c r="B5" s="17">
        <f>IFERROR(SUMIFS(INDEX('Soruce file '!$A:$Z, 0, MATCH("Mobile Usage", 'Soruce file '!$1:$1, 0)), INDEX('Soruce file '!$A:$Z, 0, MATCH("Date", 'Soruce file '!$1:$1, 0)), $B$1, INDEX('Soruce file '!$A:$Z, 0, MATCH("GA*", 'Soruce file '!$1:$1, 0)), $A5), 0)</f>
        <v>0</v>
      </c>
      <c r="C5" s="17">
        <f>IFERROR(SUMIFS(INDEX('Soruce file '!$A:$Z, 0, MATCH("No Seatbelt", 'Soruce file '!$1:$1, 0)), INDEX('Soruce file '!$A:$Z, 0, MATCH("Date", 'Soruce file '!$1:$1, 0)), $B$1, INDEX('Soruce file '!$A:$Z, 0, MATCH("GA*", 'Soruce file '!$1:$1, 0)), $A5), 0)</f>
        <v>1</v>
      </c>
      <c r="D5" s="17">
        <f>IFERROR(SUMIFS(INDEX('Soruce file '!$A:$Z, 0, MATCH("Yawning", 'Soruce file '!$1:$1, 0)), INDEX('Soruce file '!$A:$Z, 0, MATCH("Date", 'Soruce file '!$1:$1, 0)), $B$1, INDEX('Soruce file '!$A:$Z, 0, MATCH("GA*", 'Soruce file '!$1:$1, 0)), $A5), 0)</f>
        <v>0</v>
      </c>
      <c r="E5" s="17">
        <f>IFERROR(SUMIFS(INDEX('Soruce file '!$A:$Z, 0, MATCH("Fatigue", 'Soruce file '!$1:$1, 0)), INDEX('Soruce file '!$A:$Z, 0, MATCH("Date", 'Soruce file '!$1:$1, 0)), $B$1, INDEX('Soruce file '!$A:$Z, 0, MATCH("GA*", 'Soruce file '!$1:$1, 0)), $A5), 0)</f>
        <v>0</v>
      </c>
      <c r="F5" s="17">
        <f>IFERROR(SUMIFS(INDEX('Soruce file '!$A:$Z, 0, MATCH("Harsh Braking", 'Soruce file '!$1:$1, 0)), INDEX('Soruce file '!$A:$Z, 0, MATCH("Date", 'Soruce file '!$1:$1, 0)), $B$1, INDEX('Soruce file '!$A:$Z, 0, MATCH("GA*", 'Soruce file '!$1:$1, 0)), $A5), 0)</f>
        <v>0</v>
      </c>
      <c r="G5" s="17">
        <f>IFERROR(SUMIFS(INDEX('Soruce file '!$A:$Z, 0, MATCH("Overspeed", 'Soruce file '!$1:$1, 0)), INDEX('Soruce file '!$A:$Z, 0, MATCH("Date", 'Soruce file '!$1:$1, 0)), $B$1, INDEX('Soruce file '!$A:$Z, 0, MATCH("GA*", 'Soruce file '!$1:$1, 0)), $A5), 0)</f>
        <v>0</v>
      </c>
      <c r="H5" s="17">
        <f>IFERROR(SUMIFS(INDEX('Soruce file '!$A:$Z, 0, MATCH("Sudden Acceleration", 'Soruce file '!$1:$1, 0)), INDEX('Soruce file '!$A:$Z, 0, MATCH("Date", 'Soruce file '!$1:$1, 0)), $B$1, INDEX('Soruce file '!$A:$Z, 0, MATCH("GA*", 'Soruce file '!$1:$1, 0)), $A5), 0)</f>
        <v>0</v>
      </c>
      <c r="I5" s="17">
        <f>IFERROR(SUMIFS(INDEX('Soruce file '!$A:$Z, 0, MATCH("Camera Anomaly", 'Soruce file '!$1:$1, 0)), INDEX('Soruce file '!$A:$Z, 0, MATCH("Date", 'Soruce file '!$1:$1, 0)), $B$1, INDEX('Soruce file '!$A:$Z, 0, MATCH("GA*", 'Soruce file '!$1:$1, 0)), $A5), 0)</f>
        <v>0</v>
      </c>
      <c r="J5" s="17">
        <f>IFERROR(SUMIFS(INDEX('Soruce file '!$A:$Z, 0, MATCH("CD", 'Soruce file '!$1:$1, 0)), INDEX('Soruce file '!$A:$Z, 0, MATCH("Date", 'Soruce file '!$1:$1, 0)), $B$1, INDEX('Soruce file '!$A:$Z, 0, MATCH("GA*", 'Soruce file '!$1:$1, 0)), $A5), 0)</f>
        <v>0</v>
      </c>
      <c r="K5" s="17">
        <f>IFERROR(SUMIFS(INDEX('Soruce file '!$A:$Z, 0, MATCH("Night Driving", 'Soruce file '!$1:$1, 0)), INDEX('Soruce file '!$A:$Z, 0, MATCH("Date", 'Soruce file '!$1:$1, 0)), $B$1, INDEX('Soruce file '!$A:$Z, 0, MATCH("GA*", 'Soruce file '!$1:$1, 0)), $A5), 0)</f>
        <v>0</v>
      </c>
      <c r="L5" s="17">
        <f t="shared" si="0"/>
        <v>1</v>
      </c>
    </row>
    <row r="6" spans="1:12">
      <c r="A6" s="8" t="s">
        <v>414</v>
      </c>
      <c r="B6" s="17">
        <f>IFERROR(SUMIFS(INDEX('Soruce file '!$A:$Z, 0, MATCH("Mobile Usage", 'Soruce file '!$1:$1, 0)), INDEX('Soruce file '!$A:$Z, 0, MATCH("Date", 'Soruce file '!$1:$1, 0)), $B$1, INDEX('Soruce file '!$A:$Z, 0, MATCH("GA*", 'Soruce file '!$1:$1, 0)), $A6), 0)</f>
        <v>0</v>
      </c>
      <c r="C6" s="17">
        <f>IFERROR(SUMIFS(INDEX('Soruce file '!$A:$Z, 0, MATCH("No Seatbelt", 'Soruce file '!$1:$1, 0)), INDEX('Soruce file '!$A:$Z, 0, MATCH("Date", 'Soruce file '!$1:$1, 0)), $B$1, INDEX('Soruce file '!$A:$Z, 0, MATCH("GA*", 'Soruce file '!$1:$1, 0)), $A6), 0)</f>
        <v>0</v>
      </c>
      <c r="D6" s="17">
        <f>IFERROR(SUMIFS(INDEX('Soruce file '!$A:$Z, 0, MATCH("Yawning", 'Soruce file '!$1:$1, 0)), INDEX('Soruce file '!$A:$Z, 0, MATCH("Date", 'Soruce file '!$1:$1, 0)), $B$1, INDEX('Soruce file '!$A:$Z, 0, MATCH("GA*", 'Soruce file '!$1:$1, 0)), $A6), 0)</f>
        <v>0</v>
      </c>
      <c r="E6" s="17">
        <f>IFERROR(SUMIFS(INDEX('Soruce file '!$A:$Z, 0, MATCH("Fatigue", 'Soruce file '!$1:$1, 0)), INDEX('Soruce file '!$A:$Z, 0, MATCH("Date", 'Soruce file '!$1:$1, 0)), $B$1, INDEX('Soruce file '!$A:$Z, 0, MATCH("GA*", 'Soruce file '!$1:$1, 0)), $A6), 0)</f>
        <v>0</v>
      </c>
      <c r="F6" s="17">
        <f>IFERROR(SUMIFS(INDEX('Soruce file '!$A:$Z, 0, MATCH("Harsh Braking", 'Soruce file '!$1:$1, 0)), INDEX('Soruce file '!$A:$Z, 0, MATCH("Date", 'Soruce file '!$1:$1, 0)), $B$1, INDEX('Soruce file '!$A:$Z, 0, MATCH("GA*", 'Soruce file '!$1:$1, 0)), $A6), 0)</f>
        <v>0</v>
      </c>
      <c r="G6" s="17">
        <f>IFERROR(SUMIFS(INDEX('Soruce file '!$A:$Z, 0, MATCH("Overspeed", 'Soruce file '!$1:$1, 0)), INDEX('Soruce file '!$A:$Z, 0, MATCH("Date", 'Soruce file '!$1:$1, 0)), $B$1, INDEX('Soruce file '!$A:$Z, 0, MATCH("GA*", 'Soruce file '!$1:$1, 0)), $A6), 0)</f>
        <v>0</v>
      </c>
      <c r="H6" s="17">
        <f>IFERROR(SUMIFS(INDEX('Soruce file '!$A:$Z, 0, MATCH("Sudden Acceleration", 'Soruce file '!$1:$1, 0)), INDEX('Soruce file '!$A:$Z, 0, MATCH("Date", 'Soruce file '!$1:$1, 0)), $B$1, INDEX('Soruce file '!$A:$Z, 0, MATCH("GA*", 'Soruce file '!$1:$1, 0)), $A6), 0)</f>
        <v>0</v>
      </c>
      <c r="I6" s="17">
        <f>IFERROR(SUMIFS(INDEX('Soruce file '!$A:$Z, 0, MATCH("Camera Anomaly", 'Soruce file '!$1:$1, 0)), INDEX('Soruce file '!$A:$Z, 0, MATCH("Date", 'Soruce file '!$1:$1, 0)), $B$1, INDEX('Soruce file '!$A:$Z, 0, MATCH("GA*", 'Soruce file '!$1:$1, 0)), $A6), 0)</f>
        <v>0</v>
      </c>
      <c r="J6" s="17">
        <f>IFERROR(SUMIFS(INDEX('Soruce file '!$A:$Z, 0, MATCH("CD", 'Soruce file '!$1:$1, 0)), INDEX('Soruce file '!$A:$Z, 0, MATCH("Date", 'Soruce file '!$1:$1, 0)), $B$1, INDEX('Soruce file '!$A:$Z, 0, MATCH("GA*", 'Soruce file '!$1:$1, 0)), $A6), 0)</f>
        <v>0</v>
      </c>
      <c r="K6" s="17">
        <f>IFERROR(SUMIFS(INDEX('Soruce file '!$A:$Z, 0, MATCH("Night Driving", 'Soruce file '!$1:$1, 0)), INDEX('Soruce file '!$A:$Z, 0, MATCH("Date", 'Soruce file '!$1:$1, 0)), $B$1, INDEX('Soruce file '!$A:$Z, 0, MATCH("GA*", 'Soruce file '!$1:$1, 0)), $A6), 0)</f>
        <v>0</v>
      </c>
      <c r="L6" s="17">
        <f t="shared" si="0"/>
        <v>0</v>
      </c>
    </row>
    <row r="7" spans="1:12">
      <c r="A7" s="8" t="s">
        <v>260</v>
      </c>
      <c r="B7" s="17">
        <f>IFERROR(SUMIFS(INDEX('Soruce file '!$A:$Z, 0, MATCH("Mobile Usage", 'Soruce file '!$1:$1, 0)), INDEX('Soruce file '!$A:$Z, 0, MATCH("Date", 'Soruce file '!$1:$1, 0)), $B$1, INDEX('Soruce file '!$A:$Z, 0, MATCH("GA*", 'Soruce file '!$1:$1, 0)), $A7), 0)</f>
        <v>1</v>
      </c>
      <c r="C7" s="17">
        <f>IFERROR(SUMIFS(INDEX('Soruce file '!$A:$Z, 0, MATCH("No Seatbelt", 'Soruce file '!$1:$1, 0)), INDEX('Soruce file '!$A:$Z, 0, MATCH("Date", 'Soruce file '!$1:$1, 0)), $B$1, INDEX('Soruce file '!$A:$Z, 0, MATCH("GA*", 'Soruce file '!$1:$1, 0)), $A7), 0)</f>
        <v>0</v>
      </c>
      <c r="D7" s="17">
        <f>IFERROR(SUMIFS(INDEX('Soruce file '!$A:$Z, 0, MATCH("Yawning", 'Soruce file '!$1:$1, 0)), INDEX('Soruce file '!$A:$Z, 0, MATCH("Date", 'Soruce file '!$1:$1, 0)), $B$1, INDEX('Soruce file '!$A:$Z, 0, MATCH("GA*", 'Soruce file '!$1:$1, 0)), $A7), 0)</f>
        <v>0</v>
      </c>
      <c r="E7" s="17">
        <f>IFERROR(SUMIFS(INDEX('Soruce file '!$A:$Z, 0, MATCH("Fatigue", 'Soruce file '!$1:$1, 0)), INDEX('Soruce file '!$A:$Z, 0, MATCH("Date", 'Soruce file '!$1:$1, 0)), $B$1, INDEX('Soruce file '!$A:$Z, 0, MATCH("GA*", 'Soruce file '!$1:$1, 0)), $A7), 0)</f>
        <v>0</v>
      </c>
      <c r="F7" s="17">
        <f>IFERROR(SUMIFS(INDEX('Soruce file '!$A:$Z, 0, MATCH("Harsh Braking", 'Soruce file '!$1:$1, 0)), INDEX('Soruce file '!$A:$Z, 0, MATCH("Date", 'Soruce file '!$1:$1, 0)), $B$1, INDEX('Soruce file '!$A:$Z, 0, MATCH("GA*", 'Soruce file '!$1:$1, 0)), $A7), 0)</f>
        <v>0</v>
      </c>
      <c r="G7" s="17">
        <f>IFERROR(SUMIFS(INDEX('Soruce file '!$A:$Z, 0, MATCH("Overspeed", 'Soruce file '!$1:$1, 0)), INDEX('Soruce file '!$A:$Z, 0, MATCH("Date", 'Soruce file '!$1:$1, 0)), $B$1, INDEX('Soruce file '!$A:$Z, 0, MATCH("GA*", 'Soruce file '!$1:$1, 0)), $A7), 0)</f>
        <v>0</v>
      </c>
      <c r="H7" s="17">
        <f>IFERROR(SUMIFS(INDEX('Soruce file '!$A:$Z, 0, MATCH("Sudden Acceleration", 'Soruce file '!$1:$1, 0)), INDEX('Soruce file '!$A:$Z, 0, MATCH("Date", 'Soruce file '!$1:$1, 0)), $B$1, INDEX('Soruce file '!$A:$Z, 0, MATCH("GA*", 'Soruce file '!$1:$1, 0)), $A7), 0)</f>
        <v>0</v>
      </c>
      <c r="I7" s="17">
        <f>IFERROR(SUMIFS(INDEX('Soruce file '!$A:$Z, 0, MATCH("Camera Anomaly", 'Soruce file '!$1:$1, 0)), INDEX('Soruce file '!$A:$Z, 0, MATCH("Date", 'Soruce file '!$1:$1, 0)), $B$1, INDEX('Soruce file '!$A:$Z, 0, MATCH("GA*", 'Soruce file '!$1:$1, 0)), $A7), 0)</f>
        <v>0</v>
      </c>
      <c r="J7" s="17">
        <f>IFERROR(SUMIFS(INDEX('Soruce file '!$A:$Z, 0, MATCH("CD", 'Soruce file '!$1:$1, 0)), INDEX('Soruce file '!$A:$Z, 0, MATCH("Date", 'Soruce file '!$1:$1, 0)), $B$1, INDEX('Soruce file '!$A:$Z, 0, MATCH("GA*", 'Soruce file '!$1:$1, 0)), $A7), 0)</f>
        <v>0</v>
      </c>
      <c r="K7" s="17">
        <f>IFERROR(SUMIFS(INDEX('Soruce file '!$A:$Z, 0, MATCH("Night Driving", 'Soruce file '!$1:$1, 0)), INDEX('Soruce file '!$A:$Z, 0, MATCH("Date", 'Soruce file '!$1:$1, 0)), $B$1, INDEX('Soruce file '!$A:$Z, 0, MATCH("GA*", 'Soruce file '!$1:$1, 0)), $A7), 0)</f>
        <v>0</v>
      </c>
      <c r="L7" s="17">
        <f t="shared" si="0"/>
        <v>1</v>
      </c>
    </row>
    <row r="8" spans="1:12">
      <c r="A8" s="8" t="s">
        <v>27</v>
      </c>
      <c r="B8" s="17">
        <f>IFERROR(SUMIFS(INDEX('Soruce file '!$A:$Z, 0, MATCH("Mobile Usage", 'Soruce file '!$1:$1, 0)), INDEX('Soruce file '!$A:$Z, 0, MATCH("Date", 'Soruce file '!$1:$1, 0)), $B$1, INDEX('Soruce file '!$A:$Z, 0, MATCH("GA*", 'Soruce file '!$1:$1, 0)), $A8), 0)</f>
        <v>0</v>
      </c>
      <c r="C8" s="17">
        <f>IFERROR(SUMIFS(INDEX('Soruce file '!$A:$Z, 0, MATCH("No Seatbelt", 'Soruce file '!$1:$1, 0)), INDEX('Soruce file '!$A:$Z, 0, MATCH("Date", 'Soruce file '!$1:$1, 0)), $B$1, INDEX('Soruce file '!$A:$Z, 0, MATCH("GA*", 'Soruce file '!$1:$1, 0)), $A8), 0)</f>
        <v>0</v>
      </c>
      <c r="D8" s="17">
        <f>IFERROR(SUMIFS(INDEX('Soruce file '!$A:$Z, 0, MATCH("Yawning", 'Soruce file '!$1:$1, 0)), INDEX('Soruce file '!$A:$Z, 0, MATCH("Date", 'Soruce file '!$1:$1, 0)), $B$1, INDEX('Soruce file '!$A:$Z, 0, MATCH("GA*", 'Soruce file '!$1:$1, 0)), $A8), 0)</f>
        <v>0</v>
      </c>
      <c r="E8" s="17">
        <f>IFERROR(SUMIFS(INDEX('Soruce file '!$A:$Z, 0, MATCH("Fatigue", 'Soruce file '!$1:$1, 0)), INDEX('Soruce file '!$A:$Z, 0, MATCH("Date", 'Soruce file '!$1:$1, 0)), $B$1, INDEX('Soruce file '!$A:$Z, 0, MATCH("GA*", 'Soruce file '!$1:$1, 0)), $A8), 0)</f>
        <v>0</v>
      </c>
      <c r="F8" s="17">
        <f>IFERROR(SUMIFS(INDEX('Soruce file '!$A:$Z, 0, MATCH("Harsh Braking", 'Soruce file '!$1:$1, 0)), INDEX('Soruce file '!$A:$Z, 0, MATCH("Date", 'Soruce file '!$1:$1, 0)), $B$1, INDEX('Soruce file '!$A:$Z, 0, MATCH("GA*", 'Soruce file '!$1:$1, 0)), $A8), 0)</f>
        <v>0</v>
      </c>
      <c r="G8" s="17">
        <f>IFERROR(SUMIFS(INDEX('Soruce file '!$A:$Z, 0, MATCH("Overspeed", 'Soruce file '!$1:$1, 0)), INDEX('Soruce file '!$A:$Z, 0, MATCH("Date", 'Soruce file '!$1:$1, 0)), $B$1, INDEX('Soruce file '!$A:$Z, 0, MATCH("GA*", 'Soruce file '!$1:$1, 0)), $A8), 0)</f>
        <v>0</v>
      </c>
      <c r="H8" s="17">
        <f>IFERROR(SUMIFS(INDEX('Soruce file '!$A:$Z, 0, MATCH("Sudden Acceleration", 'Soruce file '!$1:$1, 0)), INDEX('Soruce file '!$A:$Z, 0, MATCH("Date", 'Soruce file '!$1:$1, 0)), $B$1, INDEX('Soruce file '!$A:$Z, 0, MATCH("GA*", 'Soruce file '!$1:$1, 0)), $A8), 0)</f>
        <v>0</v>
      </c>
      <c r="I8" s="17">
        <f>IFERROR(SUMIFS(INDEX('Soruce file '!$A:$Z, 0, MATCH("Camera Anomaly", 'Soruce file '!$1:$1, 0)), INDEX('Soruce file '!$A:$Z, 0, MATCH("Date", 'Soruce file '!$1:$1, 0)), $B$1, INDEX('Soruce file '!$A:$Z, 0, MATCH("GA*", 'Soruce file '!$1:$1, 0)), $A8), 0)</f>
        <v>1</v>
      </c>
      <c r="J8" s="17">
        <f>IFERROR(SUMIFS(INDEX('Soruce file '!$A:$Z, 0, MATCH("CD", 'Soruce file '!$1:$1, 0)), INDEX('Soruce file '!$A:$Z, 0, MATCH("Date", 'Soruce file '!$1:$1, 0)), $B$1, INDEX('Soruce file '!$A:$Z, 0, MATCH("GA*", 'Soruce file '!$1:$1, 0)), $A8), 0)</f>
        <v>0</v>
      </c>
      <c r="K8" s="17">
        <f>IFERROR(SUMIFS(INDEX('Soruce file '!$A:$Z, 0, MATCH("Night Driving", 'Soruce file '!$1:$1, 0)), INDEX('Soruce file '!$A:$Z, 0, MATCH("Date", 'Soruce file '!$1:$1, 0)), $B$1, INDEX('Soruce file '!$A:$Z, 0, MATCH("GA*", 'Soruce file '!$1:$1, 0)), $A8), 0)</f>
        <v>0</v>
      </c>
      <c r="L8" s="17">
        <f t="shared" si="0"/>
        <v>1</v>
      </c>
    </row>
    <row r="9" spans="1:12">
      <c r="A9" s="8" t="s">
        <v>128</v>
      </c>
      <c r="B9" s="17">
        <f>IFERROR(SUMIFS(INDEX('Soruce file '!$A:$Z, 0, MATCH("Mobile Usage", 'Soruce file '!$1:$1, 0)), INDEX('Soruce file '!$A:$Z, 0, MATCH("Date", 'Soruce file '!$1:$1, 0)), $B$1, INDEX('Soruce file '!$A:$Z, 0, MATCH("GA*", 'Soruce file '!$1:$1, 0)), $A9), 0)</f>
        <v>0</v>
      </c>
      <c r="C9" s="17">
        <f>IFERROR(SUMIFS(INDEX('Soruce file '!$A:$Z, 0, MATCH("No Seatbelt", 'Soruce file '!$1:$1, 0)), INDEX('Soruce file '!$A:$Z, 0, MATCH("Date", 'Soruce file '!$1:$1, 0)), $B$1, INDEX('Soruce file '!$A:$Z, 0, MATCH("GA*", 'Soruce file '!$1:$1, 0)), $A9), 0)</f>
        <v>0</v>
      </c>
      <c r="D9" s="17">
        <f>IFERROR(SUMIFS(INDEX('Soruce file '!$A:$Z, 0, MATCH("Yawning", 'Soruce file '!$1:$1, 0)), INDEX('Soruce file '!$A:$Z, 0, MATCH("Date", 'Soruce file '!$1:$1, 0)), $B$1, INDEX('Soruce file '!$A:$Z, 0, MATCH("GA*", 'Soruce file '!$1:$1, 0)), $A9), 0)</f>
        <v>0</v>
      </c>
      <c r="E9" s="17">
        <f>IFERROR(SUMIFS(INDEX('Soruce file '!$A:$Z, 0, MATCH("Fatigue", 'Soruce file '!$1:$1, 0)), INDEX('Soruce file '!$A:$Z, 0, MATCH("Date", 'Soruce file '!$1:$1, 0)), $B$1, INDEX('Soruce file '!$A:$Z, 0, MATCH("GA*", 'Soruce file '!$1:$1, 0)), $A9), 0)</f>
        <v>0</v>
      </c>
      <c r="F9" s="17">
        <f>IFERROR(SUMIFS(INDEX('Soruce file '!$A:$Z, 0, MATCH("Harsh Braking", 'Soruce file '!$1:$1, 0)), INDEX('Soruce file '!$A:$Z, 0, MATCH("Date", 'Soruce file '!$1:$1, 0)), $B$1, INDEX('Soruce file '!$A:$Z, 0, MATCH("GA*", 'Soruce file '!$1:$1, 0)), $A9), 0)</f>
        <v>0</v>
      </c>
      <c r="G9" s="17">
        <f>IFERROR(SUMIFS(INDEX('Soruce file '!$A:$Z, 0, MATCH("Overspeed", 'Soruce file '!$1:$1, 0)), INDEX('Soruce file '!$A:$Z, 0, MATCH("Date", 'Soruce file '!$1:$1, 0)), $B$1, INDEX('Soruce file '!$A:$Z, 0, MATCH("GA*", 'Soruce file '!$1:$1, 0)), $A9), 0)</f>
        <v>0</v>
      </c>
      <c r="H9" s="17">
        <f>IFERROR(SUMIFS(INDEX('Soruce file '!$A:$Z, 0, MATCH("Sudden Acceleration", 'Soruce file '!$1:$1, 0)), INDEX('Soruce file '!$A:$Z, 0, MATCH("Date", 'Soruce file '!$1:$1, 0)), $B$1, INDEX('Soruce file '!$A:$Z, 0, MATCH("GA*", 'Soruce file '!$1:$1, 0)), $A9), 0)</f>
        <v>0</v>
      </c>
      <c r="I9" s="17">
        <f>IFERROR(SUMIFS(INDEX('Soruce file '!$A:$Z, 0, MATCH("Camera Anomaly", 'Soruce file '!$1:$1, 0)), INDEX('Soruce file '!$A:$Z, 0, MATCH("Date", 'Soruce file '!$1:$1, 0)), $B$1, INDEX('Soruce file '!$A:$Z, 0, MATCH("GA*", 'Soruce file '!$1:$1, 0)), $A9), 0)</f>
        <v>0</v>
      </c>
      <c r="J9" s="17">
        <f>IFERROR(SUMIFS(INDEX('Soruce file '!$A:$Z, 0, MATCH("CD", 'Soruce file '!$1:$1, 0)), INDEX('Soruce file '!$A:$Z, 0, MATCH("Date", 'Soruce file '!$1:$1, 0)), $B$1, INDEX('Soruce file '!$A:$Z, 0, MATCH("GA*", 'Soruce file '!$1:$1, 0)), $A9), 0)</f>
        <v>0</v>
      </c>
      <c r="K9" s="17">
        <f>IFERROR(SUMIFS(INDEX('Soruce file '!$A:$Z, 0, MATCH("Night Driving", 'Soruce file '!$1:$1, 0)), INDEX('Soruce file '!$A:$Z, 0, MATCH("Date", 'Soruce file '!$1:$1, 0)), $B$1, INDEX('Soruce file '!$A:$Z, 0, MATCH("GA*", 'Soruce file '!$1:$1, 0)), $A9), 0)</f>
        <v>0</v>
      </c>
      <c r="L9" s="17">
        <f t="shared" si="0"/>
        <v>0</v>
      </c>
    </row>
    <row r="10" spans="1:12">
      <c r="A10" s="8" t="s">
        <v>23</v>
      </c>
      <c r="B10" s="17">
        <f>IFERROR(SUMIFS(INDEX('Soruce file '!$A:$Z, 0, MATCH("Mobile Usage", 'Soruce file '!$1:$1, 0)), INDEX('Soruce file '!$A:$Z, 0, MATCH("Date", 'Soruce file '!$1:$1, 0)), $B$1, INDEX('Soruce file '!$A:$Z, 0, MATCH("GA*", 'Soruce file '!$1:$1, 0)), $A10), 0)</f>
        <v>0</v>
      </c>
      <c r="C10" s="17">
        <f>IFERROR(SUMIFS(INDEX('Soruce file '!$A:$Z, 0, MATCH("No Seatbelt", 'Soruce file '!$1:$1, 0)), INDEX('Soruce file '!$A:$Z, 0, MATCH("Date", 'Soruce file '!$1:$1, 0)), $B$1, INDEX('Soruce file '!$A:$Z, 0, MATCH("GA*", 'Soruce file '!$1:$1, 0)), $A10), 0)</f>
        <v>0</v>
      </c>
      <c r="D10" s="17">
        <f>IFERROR(SUMIFS(INDEX('Soruce file '!$A:$Z, 0, MATCH("Yawning", 'Soruce file '!$1:$1, 0)), INDEX('Soruce file '!$A:$Z, 0, MATCH("Date", 'Soruce file '!$1:$1, 0)), $B$1, INDEX('Soruce file '!$A:$Z, 0, MATCH("GA*", 'Soruce file '!$1:$1, 0)), $A10), 0)</f>
        <v>0</v>
      </c>
      <c r="E10" s="17">
        <f>IFERROR(SUMIFS(INDEX('Soruce file '!$A:$Z, 0, MATCH("Fatigue", 'Soruce file '!$1:$1, 0)), INDEX('Soruce file '!$A:$Z, 0, MATCH("Date", 'Soruce file '!$1:$1, 0)), $B$1, INDEX('Soruce file '!$A:$Z, 0, MATCH("GA*", 'Soruce file '!$1:$1, 0)), $A10), 0)</f>
        <v>0</v>
      </c>
      <c r="F10" s="17">
        <f>IFERROR(SUMIFS(INDEX('Soruce file '!$A:$Z, 0, MATCH("Harsh Braking", 'Soruce file '!$1:$1, 0)), INDEX('Soruce file '!$A:$Z, 0, MATCH("Date", 'Soruce file '!$1:$1, 0)), $B$1, INDEX('Soruce file '!$A:$Z, 0, MATCH("GA*", 'Soruce file '!$1:$1, 0)), $A10), 0)</f>
        <v>0</v>
      </c>
      <c r="G10" s="17">
        <f>IFERROR(SUMIFS(INDEX('Soruce file '!$A:$Z, 0, MATCH("Overspeed", 'Soruce file '!$1:$1, 0)), INDEX('Soruce file '!$A:$Z, 0, MATCH("Date", 'Soruce file '!$1:$1, 0)), $B$1, INDEX('Soruce file '!$A:$Z, 0, MATCH("GA*", 'Soruce file '!$1:$1, 0)), $A10), 0)</f>
        <v>0</v>
      </c>
      <c r="H10" s="17">
        <f>IFERROR(SUMIFS(INDEX('Soruce file '!$A:$Z, 0, MATCH("Sudden Acceleration", 'Soruce file '!$1:$1, 0)), INDEX('Soruce file '!$A:$Z, 0, MATCH("Date", 'Soruce file '!$1:$1, 0)), $B$1, INDEX('Soruce file '!$A:$Z, 0, MATCH("GA*", 'Soruce file '!$1:$1, 0)), $A10), 0)</f>
        <v>0</v>
      </c>
      <c r="I10" s="17">
        <f>IFERROR(SUMIFS(INDEX('Soruce file '!$A:$Z, 0, MATCH("Camera Anomaly", 'Soruce file '!$1:$1, 0)), INDEX('Soruce file '!$A:$Z, 0, MATCH("Date", 'Soruce file '!$1:$1, 0)), $B$1, INDEX('Soruce file '!$A:$Z, 0, MATCH("GA*", 'Soruce file '!$1:$1, 0)), $A10), 0)</f>
        <v>0</v>
      </c>
      <c r="J10" s="17">
        <f>IFERROR(SUMIFS(INDEX('Soruce file '!$A:$Z, 0, MATCH("CD", 'Soruce file '!$1:$1, 0)), INDEX('Soruce file '!$A:$Z, 0, MATCH("Date", 'Soruce file '!$1:$1, 0)), $B$1, INDEX('Soruce file '!$A:$Z, 0, MATCH("GA*", 'Soruce file '!$1:$1, 0)), $A10), 0)</f>
        <v>0</v>
      </c>
      <c r="K10" s="17">
        <f>IFERROR(SUMIFS(INDEX('Soruce file '!$A:$Z, 0, MATCH("Night Driving", 'Soruce file '!$1:$1, 0)), INDEX('Soruce file '!$A:$Z, 0, MATCH("Date", 'Soruce file '!$1:$1, 0)), $B$1, INDEX('Soruce file '!$A:$Z, 0, MATCH("GA*", 'Soruce file '!$1:$1, 0)), $A10), 0)</f>
        <v>0</v>
      </c>
      <c r="L10" s="17">
        <f t="shared" si="0"/>
        <v>0</v>
      </c>
    </row>
    <row r="11" spans="1:12">
      <c r="A11" s="8" t="s">
        <v>58</v>
      </c>
      <c r="B11" s="17">
        <f>IFERROR(SUMIFS(INDEX('Soruce file '!$A:$Z, 0, MATCH("Mobile Usage", 'Soruce file '!$1:$1, 0)), INDEX('Soruce file '!$A:$Z, 0, MATCH("Date", 'Soruce file '!$1:$1, 0)), $B$1, INDEX('Soruce file '!$A:$Z, 0, MATCH("GA*", 'Soruce file '!$1:$1, 0)), $A11), 0)</f>
        <v>0</v>
      </c>
      <c r="C11" s="17">
        <f>IFERROR(SUMIFS(INDEX('Soruce file '!$A:$Z, 0, MATCH("No Seatbelt", 'Soruce file '!$1:$1, 0)), INDEX('Soruce file '!$A:$Z, 0, MATCH("Date", 'Soruce file '!$1:$1, 0)), $B$1, INDEX('Soruce file '!$A:$Z, 0, MATCH("GA*", 'Soruce file '!$1:$1, 0)), $A11), 0)</f>
        <v>0</v>
      </c>
      <c r="D11" s="17">
        <f>IFERROR(SUMIFS(INDEX('Soruce file '!$A:$Z, 0, MATCH("Yawning", 'Soruce file '!$1:$1, 0)), INDEX('Soruce file '!$A:$Z, 0, MATCH("Date", 'Soruce file '!$1:$1, 0)), $B$1, INDEX('Soruce file '!$A:$Z, 0, MATCH("GA*", 'Soruce file '!$1:$1, 0)), $A11), 0)</f>
        <v>0</v>
      </c>
      <c r="E11" s="17">
        <f>IFERROR(SUMIFS(INDEX('Soruce file '!$A:$Z, 0, MATCH("Fatigue", 'Soruce file '!$1:$1, 0)), INDEX('Soruce file '!$A:$Z, 0, MATCH("Date", 'Soruce file '!$1:$1, 0)), $B$1, INDEX('Soruce file '!$A:$Z, 0, MATCH("GA*", 'Soruce file '!$1:$1, 0)), $A11), 0)</f>
        <v>0</v>
      </c>
      <c r="F11" s="17">
        <f>IFERROR(SUMIFS(INDEX('Soruce file '!$A:$Z, 0, MATCH("Harsh Braking", 'Soruce file '!$1:$1, 0)), INDEX('Soruce file '!$A:$Z, 0, MATCH("Date", 'Soruce file '!$1:$1, 0)), $B$1, INDEX('Soruce file '!$A:$Z, 0, MATCH("GA*", 'Soruce file '!$1:$1, 0)), $A11), 0)</f>
        <v>0</v>
      </c>
      <c r="G11" s="17">
        <f>IFERROR(SUMIFS(INDEX('Soruce file '!$A:$Z, 0, MATCH("Overspeed", 'Soruce file '!$1:$1, 0)), INDEX('Soruce file '!$A:$Z, 0, MATCH("Date", 'Soruce file '!$1:$1, 0)), $B$1, INDEX('Soruce file '!$A:$Z, 0, MATCH("GA*", 'Soruce file '!$1:$1, 0)), $A11), 0)</f>
        <v>0</v>
      </c>
      <c r="H11" s="17">
        <f>IFERROR(SUMIFS(INDEX('Soruce file '!$A:$Z, 0, MATCH("Sudden Acceleration", 'Soruce file '!$1:$1, 0)), INDEX('Soruce file '!$A:$Z, 0, MATCH("Date", 'Soruce file '!$1:$1, 0)), $B$1, INDEX('Soruce file '!$A:$Z, 0, MATCH("GA*", 'Soruce file '!$1:$1, 0)), $A11), 0)</f>
        <v>0</v>
      </c>
      <c r="I11" s="17">
        <f>IFERROR(SUMIFS(INDEX('Soruce file '!$A:$Z, 0, MATCH("Camera Anomaly", 'Soruce file '!$1:$1, 0)), INDEX('Soruce file '!$A:$Z, 0, MATCH("Date", 'Soruce file '!$1:$1, 0)), $B$1, INDEX('Soruce file '!$A:$Z, 0, MATCH("GA*", 'Soruce file '!$1:$1, 0)), $A11), 0)</f>
        <v>0</v>
      </c>
      <c r="J11" s="17">
        <f>IFERROR(SUMIFS(INDEX('Soruce file '!$A:$Z, 0, MATCH("CD", 'Soruce file '!$1:$1, 0)), INDEX('Soruce file '!$A:$Z, 0, MATCH("Date", 'Soruce file '!$1:$1, 0)), $B$1, INDEX('Soruce file '!$A:$Z, 0, MATCH("GA*", 'Soruce file '!$1:$1, 0)), $A11), 0)</f>
        <v>0</v>
      </c>
      <c r="K11" s="17">
        <f>IFERROR(SUMIFS(INDEX('Soruce file '!$A:$Z, 0, MATCH("Night Driving", 'Soruce file '!$1:$1, 0)), INDEX('Soruce file '!$A:$Z, 0, MATCH("Date", 'Soruce file '!$1:$1, 0)), $B$1, INDEX('Soruce file '!$A:$Z, 0, MATCH("GA*", 'Soruce file '!$1:$1, 0)), $A11), 0)</f>
        <v>0</v>
      </c>
      <c r="L11" s="17">
        <f t="shared" si="0"/>
        <v>0</v>
      </c>
    </row>
    <row r="12" spans="1:12">
      <c r="A12" s="8" t="s">
        <v>10</v>
      </c>
      <c r="B12" s="17">
        <f>IFERROR(SUMIFS(INDEX('Soruce file '!$A:$Z, 0, MATCH("Mobile Usage", 'Soruce file '!$1:$1, 0)), INDEX('Soruce file '!$A:$Z, 0, MATCH("Date", 'Soruce file '!$1:$1, 0)), $B$1, INDEX('Soruce file '!$A:$Z, 0, MATCH("GA*", 'Soruce file '!$1:$1, 0)), $A12), 0)</f>
        <v>1</v>
      </c>
      <c r="C12" s="17">
        <f>IFERROR(SUMIFS(INDEX('Soruce file '!$A:$Z, 0, MATCH("No Seatbelt", 'Soruce file '!$1:$1, 0)), INDEX('Soruce file '!$A:$Z, 0, MATCH("Date", 'Soruce file '!$1:$1, 0)), $B$1, INDEX('Soruce file '!$A:$Z, 0, MATCH("GA*", 'Soruce file '!$1:$1, 0)), $A12), 0)</f>
        <v>0</v>
      </c>
      <c r="D12" s="17">
        <f>IFERROR(SUMIFS(INDEX('Soruce file '!$A:$Z, 0, MATCH("Yawning", 'Soruce file '!$1:$1, 0)), INDEX('Soruce file '!$A:$Z, 0, MATCH("Date", 'Soruce file '!$1:$1, 0)), $B$1, INDEX('Soruce file '!$A:$Z, 0, MATCH("GA*", 'Soruce file '!$1:$1, 0)), $A12), 0)</f>
        <v>0</v>
      </c>
      <c r="E12" s="17">
        <f>IFERROR(SUMIFS(INDEX('Soruce file '!$A:$Z, 0, MATCH("Fatigue", 'Soruce file '!$1:$1, 0)), INDEX('Soruce file '!$A:$Z, 0, MATCH("Date", 'Soruce file '!$1:$1, 0)), $B$1, INDEX('Soruce file '!$A:$Z, 0, MATCH("GA*", 'Soruce file '!$1:$1, 0)), $A12), 0)</f>
        <v>0</v>
      </c>
      <c r="F12" s="17">
        <f>IFERROR(SUMIFS(INDEX('Soruce file '!$A:$Z, 0, MATCH("Harsh Braking", 'Soruce file '!$1:$1, 0)), INDEX('Soruce file '!$A:$Z, 0, MATCH("Date", 'Soruce file '!$1:$1, 0)), $B$1, INDEX('Soruce file '!$A:$Z, 0, MATCH("GA*", 'Soruce file '!$1:$1, 0)), $A12), 0)</f>
        <v>0</v>
      </c>
      <c r="G12" s="17">
        <f>IFERROR(SUMIFS(INDEX('Soruce file '!$A:$Z, 0, MATCH("Overspeed", 'Soruce file '!$1:$1, 0)), INDEX('Soruce file '!$A:$Z, 0, MATCH("Date", 'Soruce file '!$1:$1, 0)), $B$1, INDEX('Soruce file '!$A:$Z, 0, MATCH("GA*", 'Soruce file '!$1:$1, 0)), $A12), 0)</f>
        <v>0</v>
      </c>
      <c r="H12" s="17">
        <f>IFERROR(SUMIFS(INDEX('Soruce file '!$A:$Z, 0, MATCH("Sudden Acceleration", 'Soruce file '!$1:$1, 0)), INDEX('Soruce file '!$A:$Z, 0, MATCH("Date", 'Soruce file '!$1:$1, 0)), $B$1, INDEX('Soruce file '!$A:$Z, 0, MATCH("GA*", 'Soruce file '!$1:$1, 0)), $A12), 0)</f>
        <v>0</v>
      </c>
      <c r="I12" s="17">
        <f>IFERROR(SUMIFS(INDEX('Soruce file '!$A:$Z, 0, MATCH("Camera Anomaly", 'Soruce file '!$1:$1, 0)), INDEX('Soruce file '!$A:$Z, 0, MATCH("Date", 'Soruce file '!$1:$1, 0)), $B$1, INDEX('Soruce file '!$A:$Z, 0, MATCH("GA*", 'Soruce file '!$1:$1, 0)), $A12), 0)</f>
        <v>0</v>
      </c>
      <c r="J12" s="17">
        <f>IFERROR(SUMIFS(INDEX('Soruce file '!$A:$Z, 0, MATCH("CD", 'Soruce file '!$1:$1, 0)), INDEX('Soruce file '!$A:$Z, 0, MATCH("Date", 'Soruce file '!$1:$1, 0)), $B$1, INDEX('Soruce file '!$A:$Z, 0, MATCH("GA*", 'Soruce file '!$1:$1, 0)), $A12), 0)</f>
        <v>0</v>
      </c>
      <c r="K12" s="17">
        <f>IFERROR(SUMIFS(INDEX('Soruce file '!$A:$Z, 0, MATCH("Night Driving", 'Soruce file '!$1:$1, 0)), INDEX('Soruce file '!$A:$Z, 0, MATCH("Date", 'Soruce file '!$1:$1, 0)), $B$1, INDEX('Soruce file '!$A:$Z, 0, MATCH("GA*", 'Soruce file '!$1:$1, 0)), $A12), 0)</f>
        <v>0</v>
      </c>
      <c r="L12" s="17">
        <f t="shared" si="0"/>
        <v>1</v>
      </c>
    </row>
    <row r="13" spans="1:12">
      <c r="A13" s="8" t="s">
        <v>18</v>
      </c>
      <c r="B13" s="17">
        <f>IFERROR(SUMIFS(INDEX('Soruce file '!$A:$Z, 0, MATCH("Mobile Usage", 'Soruce file '!$1:$1, 0)), INDEX('Soruce file '!$A:$Z, 0, MATCH("Date", 'Soruce file '!$1:$1, 0)), $B$1, INDEX('Soruce file '!$A:$Z, 0, MATCH("GA*", 'Soruce file '!$1:$1, 0)), $A13), 0)</f>
        <v>0</v>
      </c>
      <c r="C13" s="17">
        <f>IFERROR(SUMIFS(INDEX('Soruce file '!$A:$Z, 0, MATCH("No Seatbelt", 'Soruce file '!$1:$1, 0)), INDEX('Soruce file '!$A:$Z, 0, MATCH("Date", 'Soruce file '!$1:$1, 0)), $B$1, INDEX('Soruce file '!$A:$Z, 0, MATCH("GA*", 'Soruce file '!$1:$1, 0)), $A13), 0)</f>
        <v>0</v>
      </c>
      <c r="D13" s="17">
        <f>IFERROR(SUMIFS(INDEX('Soruce file '!$A:$Z, 0, MATCH("Yawning", 'Soruce file '!$1:$1, 0)), INDEX('Soruce file '!$A:$Z, 0, MATCH("Date", 'Soruce file '!$1:$1, 0)), $B$1, INDEX('Soruce file '!$A:$Z, 0, MATCH("GA*", 'Soruce file '!$1:$1, 0)), $A13), 0)</f>
        <v>0</v>
      </c>
      <c r="E13" s="17">
        <f>IFERROR(SUMIFS(INDEX('Soruce file '!$A:$Z, 0, MATCH("Fatigue", 'Soruce file '!$1:$1, 0)), INDEX('Soruce file '!$A:$Z, 0, MATCH("Date", 'Soruce file '!$1:$1, 0)), $B$1, INDEX('Soruce file '!$A:$Z, 0, MATCH("GA*", 'Soruce file '!$1:$1, 0)), $A13), 0)</f>
        <v>1</v>
      </c>
      <c r="F13" s="17">
        <f>IFERROR(SUMIFS(INDEX('Soruce file '!$A:$Z, 0, MATCH("Harsh Braking", 'Soruce file '!$1:$1, 0)), INDEX('Soruce file '!$A:$Z, 0, MATCH("Date", 'Soruce file '!$1:$1, 0)), $B$1, INDEX('Soruce file '!$A:$Z, 0, MATCH("GA*", 'Soruce file '!$1:$1, 0)), $A13), 0)</f>
        <v>0</v>
      </c>
      <c r="G13" s="17">
        <f>IFERROR(SUMIFS(INDEX('Soruce file '!$A:$Z, 0, MATCH("Overspeed", 'Soruce file '!$1:$1, 0)), INDEX('Soruce file '!$A:$Z, 0, MATCH("Date", 'Soruce file '!$1:$1, 0)), $B$1, INDEX('Soruce file '!$A:$Z, 0, MATCH("GA*", 'Soruce file '!$1:$1, 0)), $A13), 0)</f>
        <v>0</v>
      </c>
      <c r="H13" s="17">
        <f>IFERROR(SUMIFS(INDEX('Soruce file '!$A:$Z, 0, MATCH("Sudden Acceleration", 'Soruce file '!$1:$1, 0)), INDEX('Soruce file '!$A:$Z, 0, MATCH("Date", 'Soruce file '!$1:$1, 0)), $B$1, INDEX('Soruce file '!$A:$Z, 0, MATCH("GA*", 'Soruce file '!$1:$1, 0)), $A13), 0)</f>
        <v>0</v>
      </c>
      <c r="I13" s="17">
        <f>IFERROR(SUMIFS(INDEX('Soruce file '!$A:$Z, 0, MATCH("Camera Anomaly", 'Soruce file '!$1:$1, 0)), INDEX('Soruce file '!$A:$Z, 0, MATCH("Date", 'Soruce file '!$1:$1, 0)), $B$1, INDEX('Soruce file '!$A:$Z, 0, MATCH("GA*", 'Soruce file '!$1:$1, 0)), $A13), 0)</f>
        <v>1</v>
      </c>
      <c r="J13" s="17">
        <f>IFERROR(SUMIFS(INDEX('Soruce file '!$A:$Z, 0, MATCH("CD", 'Soruce file '!$1:$1, 0)), INDEX('Soruce file '!$A:$Z, 0, MATCH("Date", 'Soruce file '!$1:$1, 0)), $B$1, INDEX('Soruce file '!$A:$Z, 0, MATCH("GA*", 'Soruce file '!$1:$1, 0)), $A13), 0)</f>
        <v>0</v>
      </c>
      <c r="K13" s="17">
        <f>IFERROR(SUMIFS(INDEX('Soruce file '!$A:$Z, 0, MATCH("Night Driving", 'Soruce file '!$1:$1, 0)), INDEX('Soruce file '!$A:$Z, 0, MATCH("Date", 'Soruce file '!$1:$1, 0)), $B$1, INDEX('Soruce file '!$A:$Z, 0, MATCH("GA*", 'Soruce file '!$1:$1, 0)), $A13), 0)</f>
        <v>0</v>
      </c>
      <c r="L13" s="17">
        <f t="shared" si="0"/>
        <v>2</v>
      </c>
    </row>
    <row r="14" spans="1:12">
      <c r="A14" s="8" t="s">
        <v>42</v>
      </c>
      <c r="B14" s="17">
        <f>IFERROR(SUMIFS(INDEX('Soruce file '!$A:$Z, 0, MATCH("Mobile Usage", 'Soruce file '!$1:$1, 0)), INDEX('Soruce file '!$A:$Z, 0, MATCH("Date", 'Soruce file '!$1:$1, 0)), $B$1, INDEX('Soruce file '!$A:$Z, 0, MATCH("GA*", 'Soruce file '!$1:$1, 0)), $A14), 0)</f>
        <v>0</v>
      </c>
      <c r="C14" s="17">
        <f>IFERROR(SUMIFS(INDEX('Soruce file '!$A:$Z, 0, MATCH("No Seatbelt", 'Soruce file '!$1:$1, 0)), INDEX('Soruce file '!$A:$Z, 0, MATCH("Date", 'Soruce file '!$1:$1, 0)), $B$1, INDEX('Soruce file '!$A:$Z, 0, MATCH("GA*", 'Soruce file '!$1:$1, 0)), $A14), 0)</f>
        <v>0</v>
      </c>
      <c r="D14" s="17">
        <f>IFERROR(SUMIFS(INDEX('Soruce file '!$A:$Z, 0, MATCH("Yawning", 'Soruce file '!$1:$1, 0)), INDEX('Soruce file '!$A:$Z, 0, MATCH("Date", 'Soruce file '!$1:$1, 0)), $B$1, INDEX('Soruce file '!$A:$Z, 0, MATCH("GA*", 'Soruce file '!$1:$1, 0)), $A14), 0)</f>
        <v>0</v>
      </c>
      <c r="E14" s="17">
        <f>IFERROR(SUMIFS(INDEX('Soruce file '!$A:$Z, 0, MATCH("Fatigue", 'Soruce file '!$1:$1, 0)), INDEX('Soruce file '!$A:$Z, 0, MATCH("Date", 'Soruce file '!$1:$1, 0)), $B$1, INDEX('Soruce file '!$A:$Z, 0, MATCH("GA*", 'Soruce file '!$1:$1, 0)), $A14), 0)</f>
        <v>0</v>
      </c>
      <c r="F14" s="17">
        <f>IFERROR(SUMIFS(INDEX('Soruce file '!$A:$Z, 0, MATCH("Harsh Braking", 'Soruce file '!$1:$1, 0)), INDEX('Soruce file '!$A:$Z, 0, MATCH("Date", 'Soruce file '!$1:$1, 0)), $B$1, INDEX('Soruce file '!$A:$Z, 0, MATCH("GA*", 'Soruce file '!$1:$1, 0)), $A14), 0)</f>
        <v>0</v>
      </c>
      <c r="G14" s="17">
        <f>IFERROR(SUMIFS(INDEX('Soruce file '!$A:$Z, 0, MATCH("Overspeed", 'Soruce file '!$1:$1, 0)), INDEX('Soruce file '!$A:$Z, 0, MATCH("Date", 'Soruce file '!$1:$1, 0)), $B$1, INDEX('Soruce file '!$A:$Z, 0, MATCH("GA*", 'Soruce file '!$1:$1, 0)), $A14), 0)</f>
        <v>0</v>
      </c>
      <c r="H14" s="17">
        <f>IFERROR(SUMIFS(INDEX('Soruce file '!$A:$Z, 0, MATCH("Sudden Acceleration", 'Soruce file '!$1:$1, 0)), INDEX('Soruce file '!$A:$Z, 0, MATCH("Date", 'Soruce file '!$1:$1, 0)), $B$1, INDEX('Soruce file '!$A:$Z, 0, MATCH("GA*", 'Soruce file '!$1:$1, 0)), $A14), 0)</f>
        <v>0</v>
      </c>
      <c r="I14" s="17">
        <f>IFERROR(SUMIFS(INDEX('Soruce file '!$A:$Z, 0, MATCH("Camera Anomaly", 'Soruce file '!$1:$1, 0)), INDEX('Soruce file '!$A:$Z, 0, MATCH("Date", 'Soruce file '!$1:$1, 0)), $B$1, INDEX('Soruce file '!$A:$Z, 0, MATCH("GA*", 'Soruce file '!$1:$1, 0)), $A14), 0)</f>
        <v>0</v>
      </c>
      <c r="J14" s="17">
        <f>IFERROR(SUMIFS(INDEX('Soruce file '!$A:$Z, 0, MATCH("CD", 'Soruce file '!$1:$1, 0)), INDEX('Soruce file '!$A:$Z, 0, MATCH("Date", 'Soruce file '!$1:$1, 0)), $B$1, INDEX('Soruce file '!$A:$Z, 0, MATCH("GA*", 'Soruce file '!$1:$1, 0)), $A14), 0)</f>
        <v>0</v>
      </c>
      <c r="K14" s="17">
        <f>IFERROR(SUMIFS(INDEX('Soruce file '!$A:$Z, 0, MATCH("Night Driving", 'Soruce file '!$1:$1, 0)), INDEX('Soruce file '!$A:$Z, 0, MATCH("Date", 'Soruce file '!$1:$1, 0)), $B$1, INDEX('Soruce file '!$A:$Z, 0, MATCH("GA*", 'Soruce file '!$1:$1, 0)), $A14), 0)</f>
        <v>0</v>
      </c>
      <c r="L14" s="17">
        <f t="shared" si="0"/>
        <v>0</v>
      </c>
    </row>
    <row r="15" spans="1:12">
      <c r="A15" s="8" t="s">
        <v>417</v>
      </c>
      <c r="B15" s="17">
        <f>IFERROR(SUMIFS(INDEX('Soruce file '!$A:$Z, 0, MATCH("Mobile Usage", 'Soruce file '!$1:$1, 0)), INDEX('Soruce file '!$A:$Z, 0, MATCH("Date", 'Soruce file '!$1:$1, 0)), $B$1, INDEX('Soruce file '!$A:$Z, 0, MATCH("GA*", 'Soruce file '!$1:$1, 0)), $A15), 0)</f>
        <v>0</v>
      </c>
      <c r="C15" s="17">
        <f>IFERROR(SUMIFS(INDEX('Soruce file '!$A:$Z, 0, MATCH("No Seatbelt", 'Soruce file '!$1:$1, 0)), INDEX('Soruce file '!$A:$Z, 0, MATCH("Date", 'Soruce file '!$1:$1, 0)), $B$1, INDEX('Soruce file '!$A:$Z, 0, MATCH("GA*", 'Soruce file '!$1:$1, 0)), $A15), 0)</f>
        <v>0</v>
      </c>
      <c r="D15" s="17">
        <f>IFERROR(SUMIFS(INDEX('Soruce file '!$A:$Z, 0, MATCH("Yawning", 'Soruce file '!$1:$1, 0)), INDEX('Soruce file '!$A:$Z, 0, MATCH("Date", 'Soruce file '!$1:$1, 0)), $B$1, INDEX('Soruce file '!$A:$Z, 0, MATCH("GA*", 'Soruce file '!$1:$1, 0)), $A15), 0)</f>
        <v>0</v>
      </c>
      <c r="E15" s="17">
        <f>IFERROR(SUMIFS(INDEX('Soruce file '!$A:$Z, 0, MATCH("Fatigue", 'Soruce file '!$1:$1, 0)), INDEX('Soruce file '!$A:$Z, 0, MATCH("Date", 'Soruce file '!$1:$1, 0)), $B$1, INDEX('Soruce file '!$A:$Z, 0, MATCH("GA*", 'Soruce file '!$1:$1, 0)), $A15), 0)</f>
        <v>0</v>
      </c>
      <c r="F15" s="17">
        <f>IFERROR(SUMIFS(INDEX('Soruce file '!$A:$Z, 0, MATCH("Harsh Braking", 'Soruce file '!$1:$1, 0)), INDEX('Soruce file '!$A:$Z, 0, MATCH("Date", 'Soruce file '!$1:$1, 0)), $B$1, INDEX('Soruce file '!$A:$Z, 0, MATCH("GA*", 'Soruce file '!$1:$1, 0)), $A15), 0)</f>
        <v>0</v>
      </c>
      <c r="G15" s="17">
        <f>IFERROR(SUMIFS(INDEX('Soruce file '!$A:$Z, 0, MATCH("Overspeed", 'Soruce file '!$1:$1, 0)), INDEX('Soruce file '!$A:$Z, 0, MATCH("Date", 'Soruce file '!$1:$1, 0)), $B$1, INDEX('Soruce file '!$A:$Z, 0, MATCH("GA*", 'Soruce file '!$1:$1, 0)), $A15), 0)</f>
        <v>0</v>
      </c>
      <c r="H15" s="17">
        <f>IFERROR(SUMIFS(INDEX('Soruce file '!$A:$Z, 0, MATCH("Sudden Acceleration", 'Soruce file '!$1:$1, 0)), INDEX('Soruce file '!$A:$Z, 0, MATCH("Date", 'Soruce file '!$1:$1, 0)), $B$1, INDEX('Soruce file '!$A:$Z, 0, MATCH("GA*", 'Soruce file '!$1:$1, 0)), $A15), 0)</f>
        <v>0</v>
      </c>
      <c r="I15" s="17">
        <f>IFERROR(SUMIFS(INDEX('Soruce file '!$A:$Z, 0, MATCH("Camera Anomaly", 'Soruce file '!$1:$1, 0)), INDEX('Soruce file '!$A:$Z, 0, MATCH("Date", 'Soruce file '!$1:$1, 0)), $B$1, INDEX('Soruce file '!$A:$Z, 0, MATCH("GA*", 'Soruce file '!$1:$1, 0)), $A15), 0)</f>
        <v>0</v>
      </c>
      <c r="J15" s="17">
        <f>IFERROR(SUMIFS(INDEX('Soruce file '!$A:$Z, 0, MATCH("CD", 'Soruce file '!$1:$1, 0)), INDEX('Soruce file '!$A:$Z, 0, MATCH("Date", 'Soruce file '!$1:$1, 0)), $B$1, INDEX('Soruce file '!$A:$Z, 0, MATCH("GA*", 'Soruce file '!$1:$1, 0)), $A15), 0)</f>
        <v>0</v>
      </c>
      <c r="K15" s="17">
        <f>IFERROR(SUMIFS(INDEX('Soruce file '!$A:$Z, 0, MATCH("Night Driving", 'Soruce file '!$1:$1, 0)), INDEX('Soruce file '!$A:$Z, 0, MATCH("Date", 'Soruce file '!$1:$1, 0)), $B$1, INDEX('Soruce file '!$A:$Z, 0, MATCH("GA*", 'Soruce file '!$1:$1, 0)), $A15), 0)</f>
        <v>0</v>
      </c>
      <c r="L15" s="17">
        <f t="shared" si="0"/>
        <v>0</v>
      </c>
    </row>
    <row r="16" spans="1:12">
      <c r="A16" s="8" t="s">
        <v>21</v>
      </c>
      <c r="B16" s="17">
        <f>IFERROR(SUMIFS(INDEX('Soruce file '!$A:$Z, 0, MATCH("Mobile Usage", 'Soruce file '!$1:$1, 0)), INDEX('Soruce file '!$A:$Z, 0, MATCH("Date", 'Soruce file '!$1:$1, 0)), $B$1, INDEX('Soruce file '!$A:$Z, 0, MATCH("GA*", 'Soruce file '!$1:$1, 0)), $A16), 0)</f>
        <v>2</v>
      </c>
      <c r="C16" s="17">
        <f>IFERROR(SUMIFS(INDEX('Soruce file '!$A:$Z, 0, MATCH("No Seatbelt", 'Soruce file '!$1:$1, 0)), INDEX('Soruce file '!$A:$Z, 0, MATCH("Date", 'Soruce file '!$1:$1, 0)), $B$1, INDEX('Soruce file '!$A:$Z, 0, MATCH("GA*", 'Soruce file '!$1:$1, 0)), $A16), 0)</f>
        <v>0</v>
      </c>
      <c r="D16" s="17">
        <f>IFERROR(SUMIFS(INDEX('Soruce file '!$A:$Z, 0, MATCH("Yawning", 'Soruce file '!$1:$1, 0)), INDEX('Soruce file '!$A:$Z, 0, MATCH("Date", 'Soruce file '!$1:$1, 0)), $B$1, INDEX('Soruce file '!$A:$Z, 0, MATCH("GA*", 'Soruce file '!$1:$1, 0)), $A16), 0)</f>
        <v>0</v>
      </c>
      <c r="E16" s="17">
        <f>IFERROR(SUMIFS(INDEX('Soruce file '!$A:$Z, 0, MATCH("Fatigue", 'Soruce file '!$1:$1, 0)), INDEX('Soruce file '!$A:$Z, 0, MATCH("Date", 'Soruce file '!$1:$1, 0)), $B$1, INDEX('Soruce file '!$A:$Z, 0, MATCH("GA*", 'Soruce file '!$1:$1, 0)), $A16), 0)</f>
        <v>0</v>
      </c>
      <c r="F16" s="17">
        <f>IFERROR(SUMIFS(INDEX('Soruce file '!$A:$Z, 0, MATCH("Harsh Braking", 'Soruce file '!$1:$1, 0)), INDEX('Soruce file '!$A:$Z, 0, MATCH("Date", 'Soruce file '!$1:$1, 0)), $B$1, INDEX('Soruce file '!$A:$Z, 0, MATCH("GA*", 'Soruce file '!$1:$1, 0)), $A16), 0)</f>
        <v>0</v>
      </c>
      <c r="G16" s="17">
        <f>IFERROR(SUMIFS(INDEX('Soruce file '!$A:$Z, 0, MATCH("Overspeed", 'Soruce file '!$1:$1, 0)), INDEX('Soruce file '!$A:$Z, 0, MATCH("Date", 'Soruce file '!$1:$1, 0)), $B$1, INDEX('Soruce file '!$A:$Z, 0, MATCH("GA*", 'Soruce file '!$1:$1, 0)), $A16), 0)</f>
        <v>0</v>
      </c>
      <c r="H16" s="17">
        <f>IFERROR(SUMIFS(INDEX('Soruce file '!$A:$Z, 0, MATCH("Sudden Acceleration", 'Soruce file '!$1:$1, 0)), INDEX('Soruce file '!$A:$Z, 0, MATCH("Date", 'Soruce file '!$1:$1, 0)), $B$1, INDEX('Soruce file '!$A:$Z, 0, MATCH("GA*", 'Soruce file '!$1:$1, 0)), $A16), 0)</f>
        <v>0</v>
      </c>
      <c r="I16" s="17">
        <f>IFERROR(SUMIFS(INDEX('Soruce file '!$A:$Z, 0, MATCH("Camera Anomaly", 'Soruce file '!$1:$1, 0)), INDEX('Soruce file '!$A:$Z, 0, MATCH("Date", 'Soruce file '!$1:$1, 0)), $B$1, INDEX('Soruce file '!$A:$Z, 0, MATCH("GA*", 'Soruce file '!$1:$1, 0)), $A16), 0)</f>
        <v>0</v>
      </c>
      <c r="J16" s="17">
        <f>IFERROR(SUMIFS(INDEX('Soruce file '!$A:$Z, 0, MATCH("CD", 'Soruce file '!$1:$1, 0)), INDEX('Soruce file '!$A:$Z, 0, MATCH("Date", 'Soruce file '!$1:$1, 0)), $B$1, INDEX('Soruce file '!$A:$Z, 0, MATCH("GA*", 'Soruce file '!$1:$1, 0)), $A16), 0)</f>
        <v>0</v>
      </c>
      <c r="K16" s="17">
        <f>IFERROR(SUMIFS(INDEX('Soruce file '!$A:$Z, 0, MATCH("Night Driving", 'Soruce file '!$1:$1, 0)), INDEX('Soruce file '!$A:$Z, 0, MATCH("Date", 'Soruce file '!$1:$1, 0)), $B$1, INDEX('Soruce file '!$A:$Z, 0, MATCH("GA*", 'Soruce file '!$1:$1, 0)), $A16), 0)</f>
        <v>0</v>
      </c>
      <c r="L16" s="17">
        <f t="shared" si="0"/>
        <v>2</v>
      </c>
    </row>
    <row r="17" spans="1:12">
      <c r="A17" s="8" t="s">
        <v>29</v>
      </c>
      <c r="B17" s="17">
        <f>IFERROR(SUMIFS(INDEX('Soruce file '!$A:$Z, 0, MATCH("Mobile Usage", 'Soruce file '!$1:$1, 0)), INDEX('Soruce file '!$A:$Z, 0, MATCH("Date", 'Soruce file '!$1:$1, 0)), $B$1, INDEX('Soruce file '!$A:$Z, 0, MATCH("GA*", 'Soruce file '!$1:$1, 0)), $A17), 0)</f>
        <v>0</v>
      </c>
      <c r="C17" s="17">
        <f>IFERROR(SUMIFS(INDEX('Soruce file '!$A:$Z, 0, MATCH("No Seatbelt", 'Soruce file '!$1:$1, 0)), INDEX('Soruce file '!$A:$Z, 0, MATCH("Date", 'Soruce file '!$1:$1, 0)), $B$1, INDEX('Soruce file '!$A:$Z, 0, MATCH("GA*", 'Soruce file '!$1:$1, 0)), $A17), 0)</f>
        <v>0</v>
      </c>
      <c r="D17" s="17">
        <f>IFERROR(SUMIFS(INDEX('Soruce file '!$A:$Z, 0, MATCH("Yawning", 'Soruce file '!$1:$1, 0)), INDEX('Soruce file '!$A:$Z, 0, MATCH("Date", 'Soruce file '!$1:$1, 0)), $B$1, INDEX('Soruce file '!$A:$Z, 0, MATCH("GA*", 'Soruce file '!$1:$1, 0)), $A17), 0)</f>
        <v>0</v>
      </c>
      <c r="E17" s="17">
        <f>IFERROR(SUMIFS(INDEX('Soruce file '!$A:$Z, 0, MATCH("Fatigue", 'Soruce file '!$1:$1, 0)), INDEX('Soruce file '!$A:$Z, 0, MATCH("Date", 'Soruce file '!$1:$1, 0)), $B$1, INDEX('Soruce file '!$A:$Z, 0, MATCH("GA*", 'Soruce file '!$1:$1, 0)), $A17), 0)</f>
        <v>0</v>
      </c>
      <c r="F17" s="17">
        <f>IFERROR(SUMIFS(INDEX('Soruce file '!$A:$Z, 0, MATCH("Harsh Braking", 'Soruce file '!$1:$1, 0)), INDEX('Soruce file '!$A:$Z, 0, MATCH("Date", 'Soruce file '!$1:$1, 0)), $B$1, INDEX('Soruce file '!$A:$Z, 0, MATCH("GA*", 'Soruce file '!$1:$1, 0)), $A17), 0)</f>
        <v>0</v>
      </c>
      <c r="G17" s="17">
        <f>IFERROR(SUMIFS(INDEX('Soruce file '!$A:$Z, 0, MATCH("Overspeed", 'Soruce file '!$1:$1, 0)), INDEX('Soruce file '!$A:$Z, 0, MATCH("Date", 'Soruce file '!$1:$1, 0)), $B$1, INDEX('Soruce file '!$A:$Z, 0, MATCH("GA*", 'Soruce file '!$1:$1, 0)), $A17), 0)</f>
        <v>0</v>
      </c>
      <c r="H17" s="17">
        <f>IFERROR(SUMIFS(INDEX('Soruce file '!$A:$Z, 0, MATCH("Sudden Acceleration", 'Soruce file '!$1:$1, 0)), INDEX('Soruce file '!$A:$Z, 0, MATCH("Date", 'Soruce file '!$1:$1, 0)), $B$1, INDEX('Soruce file '!$A:$Z, 0, MATCH("GA*", 'Soruce file '!$1:$1, 0)), $A17), 0)</f>
        <v>0</v>
      </c>
      <c r="I17" s="17">
        <f>IFERROR(SUMIFS(INDEX('Soruce file '!$A:$Z, 0, MATCH("Camera Anomaly", 'Soruce file '!$1:$1, 0)), INDEX('Soruce file '!$A:$Z, 0, MATCH("Date", 'Soruce file '!$1:$1, 0)), $B$1, INDEX('Soruce file '!$A:$Z, 0, MATCH("GA*", 'Soruce file '!$1:$1, 0)), $A17), 0)</f>
        <v>0</v>
      </c>
      <c r="J17" s="17">
        <f>IFERROR(SUMIFS(INDEX('Soruce file '!$A:$Z, 0, MATCH("CD", 'Soruce file '!$1:$1, 0)), INDEX('Soruce file '!$A:$Z, 0, MATCH("Date", 'Soruce file '!$1:$1, 0)), $B$1, INDEX('Soruce file '!$A:$Z, 0, MATCH("GA*", 'Soruce file '!$1:$1, 0)), $A17), 0)</f>
        <v>0</v>
      </c>
      <c r="K17" s="17">
        <f>IFERROR(SUMIFS(INDEX('Soruce file '!$A:$Z, 0, MATCH("Night Driving", 'Soruce file '!$1:$1, 0)), INDEX('Soruce file '!$A:$Z, 0, MATCH("Date", 'Soruce file '!$1:$1, 0)), $B$1, INDEX('Soruce file '!$A:$Z, 0, MATCH("GA*", 'Soruce file '!$1:$1, 0)), $A17), 0)</f>
        <v>0</v>
      </c>
      <c r="L17" s="17">
        <f t="shared" si="0"/>
        <v>0</v>
      </c>
    </row>
    <row r="18" spans="1:12">
      <c r="A18" s="8" t="s">
        <v>7</v>
      </c>
      <c r="B18" s="17">
        <f>IFERROR(SUMIFS(INDEX('Soruce file '!$A:$Z, 0, MATCH("Mobile Usage", 'Soruce file '!$1:$1, 0)), INDEX('Soruce file '!$A:$Z, 0, MATCH("Date", 'Soruce file '!$1:$1, 0)), $B$1, INDEX('Soruce file '!$A:$Z, 0, MATCH("GA*", 'Soruce file '!$1:$1, 0)), $A18), 0)</f>
        <v>0</v>
      </c>
      <c r="C18" s="17">
        <f>IFERROR(SUMIFS(INDEX('Soruce file '!$A:$Z, 0, MATCH("No Seatbelt", 'Soruce file '!$1:$1, 0)), INDEX('Soruce file '!$A:$Z, 0, MATCH("Date", 'Soruce file '!$1:$1, 0)), $B$1, INDEX('Soruce file '!$A:$Z, 0, MATCH("GA*", 'Soruce file '!$1:$1, 0)), $A18), 0)</f>
        <v>1</v>
      </c>
      <c r="D18" s="17">
        <f>IFERROR(SUMIFS(INDEX('Soruce file '!$A:$Z, 0, MATCH("Yawning", 'Soruce file '!$1:$1, 0)), INDEX('Soruce file '!$A:$Z, 0, MATCH("Date", 'Soruce file '!$1:$1, 0)), $B$1, INDEX('Soruce file '!$A:$Z, 0, MATCH("GA*", 'Soruce file '!$1:$1, 0)), $A18), 0)</f>
        <v>0</v>
      </c>
      <c r="E18" s="17">
        <f>IFERROR(SUMIFS(INDEX('Soruce file '!$A:$Z, 0, MATCH("Fatigue", 'Soruce file '!$1:$1, 0)), INDEX('Soruce file '!$A:$Z, 0, MATCH("Date", 'Soruce file '!$1:$1, 0)), $B$1, INDEX('Soruce file '!$A:$Z, 0, MATCH("GA*", 'Soruce file '!$1:$1, 0)), $A18), 0)</f>
        <v>0</v>
      </c>
      <c r="F18" s="17">
        <f>IFERROR(SUMIFS(INDEX('Soruce file '!$A:$Z, 0, MATCH("Harsh Braking", 'Soruce file '!$1:$1, 0)), INDEX('Soruce file '!$A:$Z, 0, MATCH("Date", 'Soruce file '!$1:$1, 0)), $B$1, INDEX('Soruce file '!$A:$Z, 0, MATCH("GA*", 'Soruce file '!$1:$1, 0)), $A18), 0)</f>
        <v>0</v>
      </c>
      <c r="G18" s="17">
        <f>IFERROR(SUMIFS(INDEX('Soruce file '!$A:$Z, 0, MATCH("Overspeed", 'Soruce file '!$1:$1, 0)), INDEX('Soruce file '!$A:$Z, 0, MATCH("Date", 'Soruce file '!$1:$1, 0)), $B$1, INDEX('Soruce file '!$A:$Z, 0, MATCH("GA*", 'Soruce file '!$1:$1, 0)), $A18), 0)</f>
        <v>0</v>
      </c>
      <c r="H18" s="17">
        <f>IFERROR(SUMIFS(INDEX('Soruce file '!$A:$Z, 0, MATCH("Sudden Acceleration", 'Soruce file '!$1:$1, 0)), INDEX('Soruce file '!$A:$Z, 0, MATCH("Date", 'Soruce file '!$1:$1, 0)), $B$1, INDEX('Soruce file '!$A:$Z, 0, MATCH("GA*", 'Soruce file '!$1:$1, 0)), $A18), 0)</f>
        <v>0</v>
      </c>
      <c r="I18" s="17">
        <f>IFERROR(SUMIFS(INDEX('Soruce file '!$A:$Z, 0, MATCH("Camera Anomaly", 'Soruce file '!$1:$1, 0)), INDEX('Soruce file '!$A:$Z, 0, MATCH("Date", 'Soruce file '!$1:$1, 0)), $B$1, INDEX('Soruce file '!$A:$Z, 0, MATCH("GA*", 'Soruce file '!$1:$1, 0)), $A18), 0)</f>
        <v>0</v>
      </c>
      <c r="J18" s="17">
        <f>IFERROR(SUMIFS(INDEX('Soruce file '!$A:$Z, 0, MATCH("CD", 'Soruce file '!$1:$1, 0)), INDEX('Soruce file '!$A:$Z, 0, MATCH("Date", 'Soruce file '!$1:$1, 0)), $B$1, INDEX('Soruce file '!$A:$Z, 0, MATCH("GA*", 'Soruce file '!$1:$1, 0)), $A18), 0)</f>
        <v>0</v>
      </c>
      <c r="K18" s="17">
        <f>IFERROR(SUMIFS(INDEX('Soruce file '!$A:$Z, 0, MATCH("Night Driving", 'Soruce file '!$1:$1, 0)), INDEX('Soruce file '!$A:$Z, 0, MATCH("Date", 'Soruce file '!$1:$1, 0)), $B$1, INDEX('Soruce file '!$A:$Z, 0, MATCH("GA*", 'Soruce file '!$1:$1, 0)), $A18), 0)</f>
        <v>0</v>
      </c>
      <c r="L18" s="17">
        <f t="shared" si="0"/>
        <v>1</v>
      </c>
    </row>
    <row r="19" spans="1:12">
      <c r="A19" s="8" t="s">
        <v>147</v>
      </c>
      <c r="B19" s="17">
        <f>IFERROR(SUMIFS(INDEX('Soruce file '!$A:$Z, 0, MATCH("Mobile Usage", 'Soruce file '!$1:$1, 0)), INDEX('Soruce file '!$A:$Z, 0, MATCH("Date", 'Soruce file '!$1:$1, 0)), $B$1, INDEX('Soruce file '!$A:$Z, 0, MATCH("GA*", 'Soruce file '!$1:$1, 0)), $A19), 0)</f>
        <v>0</v>
      </c>
      <c r="C19" s="17">
        <f>IFERROR(SUMIFS(INDEX('Soruce file '!$A:$Z, 0, MATCH("No Seatbelt", 'Soruce file '!$1:$1, 0)), INDEX('Soruce file '!$A:$Z, 0, MATCH("Date", 'Soruce file '!$1:$1, 0)), $B$1, INDEX('Soruce file '!$A:$Z, 0, MATCH("GA*", 'Soruce file '!$1:$1, 0)), $A19), 0)</f>
        <v>0</v>
      </c>
      <c r="D19" s="17">
        <f>IFERROR(SUMIFS(INDEX('Soruce file '!$A:$Z, 0, MATCH("Yawning", 'Soruce file '!$1:$1, 0)), INDEX('Soruce file '!$A:$Z, 0, MATCH("Date", 'Soruce file '!$1:$1, 0)), $B$1, INDEX('Soruce file '!$A:$Z, 0, MATCH("GA*", 'Soruce file '!$1:$1, 0)), $A19), 0)</f>
        <v>0</v>
      </c>
      <c r="E19" s="17">
        <f>IFERROR(SUMIFS(INDEX('Soruce file '!$A:$Z, 0, MATCH("Fatigue", 'Soruce file '!$1:$1, 0)), INDEX('Soruce file '!$A:$Z, 0, MATCH("Date", 'Soruce file '!$1:$1, 0)), $B$1, INDEX('Soruce file '!$A:$Z, 0, MATCH("GA*", 'Soruce file '!$1:$1, 0)), $A19), 0)</f>
        <v>0</v>
      </c>
      <c r="F19" s="17">
        <f>IFERROR(SUMIFS(INDEX('Soruce file '!$A:$Z, 0, MATCH("Harsh Braking", 'Soruce file '!$1:$1, 0)), INDEX('Soruce file '!$A:$Z, 0, MATCH("Date", 'Soruce file '!$1:$1, 0)), $B$1, INDEX('Soruce file '!$A:$Z, 0, MATCH("GA*", 'Soruce file '!$1:$1, 0)), $A19), 0)</f>
        <v>0</v>
      </c>
      <c r="G19" s="17">
        <f>IFERROR(SUMIFS(INDEX('Soruce file '!$A:$Z, 0, MATCH("Overspeed", 'Soruce file '!$1:$1, 0)), INDEX('Soruce file '!$A:$Z, 0, MATCH("Date", 'Soruce file '!$1:$1, 0)), $B$1, INDEX('Soruce file '!$A:$Z, 0, MATCH("GA*", 'Soruce file '!$1:$1, 0)), $A19), 0)</f>
        <v>0</v>
      </c>
      <c r="H19" s="17">
        <f>IFERROR(SUMIFS(INDEX('Soruce file '!$A:$Z, 0, MATCH("Sudden Acceleration", 'Soruce file '!$1:$1, 0)), INDEX('Soruce file '!$A:$Z, 0, MATCH("Date", 'Soruce file '!$1:$1, 0)), $B$1, INDEX('Soruce file '!$A:$Z, 0, MATCH("GA*", 'Soruce file '!$1:$1, 0)), $A19), 0)</f>
        <v>0</v>
      </c>
      <c r="I19" s="17">
        <f>IFERROR(SUMIFS(INDEX('Soruce file '!$A:$Z, 0, MATCH("Camera Anomaly", 'Soruce file '!$1:$1, 0)), INDEX('Soruce file '!$A:$Z, 0, MATCH("Date", 'Soruce file '!$1:$1, 0)), $B$1, INDEX('Soruce file '!$A:$Z, 0, MATCH("GA*", 'Soruce file '!$1:$1, 0)), $A19), 0)</f>
        <v>0</v>
      </c>
      <c r="J19" s="17">
        <f>IFERROR(SUMIFS(INDEX('Soruce file '!$A:$Z, 0, MATCH("CD", 'Soruce file '!$1:$1, 0)), INDEX('Soruce file '!$A:$Z, 0, MATCH("Date", 'Soruce file '!$1:$1, 0)), $B$1, INDEX('Soruce file '!$A:$Z, 0, MATCH("GA*", 'Soruce file '!$1:$1, 0)), $A19), 0)</f>
        <v>0</v>
      </c>
      <c r="K19" s="17">
        <f>IFERROR(SUMIFS(INDEX('Soruce file '!$A:$Z, 0, MATCH("Night Driving", 'Soruce file '!$1:$1, 0)), INDEX('Soruce file '!$A:$Z, 0, MATCH("Date", 'Soruce file '!$1:$1, 0)), $B$1, INDEX('Soruce file '!$A:$Z, 0, MATCH("GA*", 'Soruce file '!$1:$1, 0)), $A19), 0)</f>
        <v>0</v>
      </c>
      <c r="L19" s="17">
        <f t="shared" si="0"/>
        <v>0</v>
      </c>
    </row>
    <row r="20" spans="1:12">
      <c r="A20" s="8" t="s">
        <v>88</v>
      </c>
      <c r="B20" s="17">
        <f>IFERROR(SUMIFS(INDEX('Soruce file '!$A:$Z, 0, MATCH("Mobile Usage", 'Soruce file '!$1:$1, 0)), INDEX('Soruce file '!$A:$Z, 0, MATCH("Date", 'Soruce file '!$1:$1, 0)), $B$1, INDEX('Soruce file '!$A:$Z, 0, MATCH("GA*", 'Soruce file '!$1:$1, 0)), $A20), 0)</f>
        <v>0</v>
      </c>
      <c r="C20" s="17">
        <f>IFERROR(SUMIFS(INDEX('Soruce file '!$A:$Z, 0, MATCH("No Seatbelt", 'Soruce file '!$1:$1, 0)), INDEX('Soruce file '!$A:$Z, 0, MATCH("Date", 'Soruce file '!$1:$1, 0)), $B$1, INDEX('Soruce file '!$A:$Z, 0, MATCH("GA*", 'Soruce file '!$1:$1, 0)), $A20), 0)</f>
        <v>0</v>
      </c>
      <c r="D20" s="17">
        <f>IFERROR(SUMIFS(INDEX('Soruce file '!$A:$Z, 0, MATCH("Yawning", 'Soruce file '!$1:$1, 0)), INDEX('Soruce file '!$A:$Z, 0, MATCH("Date", 'Soruce file '!$1:$1, 0)), $B$1, INDEX('Soruce file '!$A:$Z, 0, MATCH("GA*", 'Soruce file '!$1:$1, 0)), $A20), 0)</f>
        <v>0</v>
      </c>
      <c r="E20" s="17">
        <f>IFERROR(SUMIFS(INDEX('Soruce file '!$A:$Z, 0, MATCH("Fatigue", 'Soruce file '!$1:$1, 0)), INDEX('Soruce file '!$A:$Z, 0, MATCH("Date", 'Soruce file '!$1:$1, 0)), $B$1, INDEX('Soruce file '!$A:$Z, 0, MATCH("GA*", 'Soruce file '!$1:$1, 0)), $A20), 0)</f>
        <v>0</v>
      </c>
      <c r="F20" s="17">
        <f>IFERROR(SUMIFS(INDEX('Soruce file '!$A:$Z, 0, MATCH("Harsh Braking", 'Soruce file '!$1:$1, 0)), INDEX('Soruce file '!$A:$Z, 0, MATCH("Date", 'Soruce file '!$1:$1, 0)), $B$1, INDEX('Soruce file '!$A:$Z, 0, MATCH("GA*", 'Soruce file '!$1:$1, 0)), $A20), 0)</f>
        <v>0</v>
      </c>
      <c r="G20" s="17">
        <f>IFERROR(SUMIFS(INDEX('Soruce file '!$A:$Z, 0, MATCH("Overspeed", 'Soruce file '!$1:$1, 0)), INDEX('Soruce file '!$A:$Z, 0, MATCH("Date", 'Soruce file '!$1:$1, 0)), $B$1, INDEX('Soruce file '!$A:$Z, 0, MATCH("GA*", 'Soruce file '!$1:$1, 0)), $A20), 0)</f>
        <v>0</v>
      </c>
      <c r="H20" s="17">
        <f>IFERROR(SUMIFS(INDEX('Soruce file '!$A:$Z, 0, MATCH("Sudden Acceleration", 'Soruce file '!$1:$1, 0)), INDEX('Soruce file '!$A:$Z, 0, MATCH("Date", 'Soruce file '!$1:$1, 0)), $B$1, INDEX('Soruce file '!$A:$Z, 0, MATCH("GA*", 'Soruce file '!$1:$1, 0)), $A20), 0)</f>
        <v>0</v>
      </c>
      <c r="I20" s="17">
        <f>IFERROR(SUMIFS(INDEX('Soruce file '!$A:$Z, 0, MATCH("Camera Anomaly", 'Soruce file '!$1:$1, 0)), INDEX('Soruce file '!$A:$Z, 0, MATCH("Date", 'Soruce file '!$1:$1, 0)), $B$1, INDEX('Soruce file '!$A:$Z, 0, MATCH("GA*", 'Soruce file '!$1:$1, 0)), $A20), 0)</f>
        <v>0</v>
      </c>
      <c r="J20" s="17">
        <f>IFERROR(SUMIFS(INDEX('Soruce file '!$A:$Z, 0, MATCH("CD", 'Soruce file '!$1:$1, 0)), INDEX('Soruce file '!$A:$Z, 0, MATCH("Date", 'Soruce file '!$1:$1, 0)), $B$1, INDEX('Soruce file '!$A:$Z, 0, MATCH("GA*", 'Soruce file '!$1:$1, 0)), $A20), 0)</f>
        <v>0</v>
      </c>
      <c r="K20" s="17">
        <f>IFERROR(SUMIFS(INDEX('Soruce file '!$A:$Z, 0, MATCH("Night Driving", 'Soruce file '!$1:$1, 0)), INDEX('Soruce file '!$A:$Z, 0, MATCH("Date", 'Soruce file '!$1:$1, 0)), $B$1, INDEX('Soruce file '!$A:$Z, 0, MATCH("GA*", 'Soruce file '!$1:$1, 0)), $A20), 0)</f>
        <v>0</v>
      </c>
      <c r="L20" s="17">
        <f t="shared" si="0"/>
        <v>0</v>
      </c>
    </row>
    <row r="21" spans="1:12">
      <c r="A21" s="8" t="s">
        <v>97</v>
      </c>
      <c r="B21" s="17">
        <f>IFERROR(SUMIFS(INDEX('Soruce file '!$A:$Z, 0, MATCH("Mobile Usage", 'Soruce file '!$1:$1, 0)), INDEX('Soruce file '!$A:$Z, 0, MATCH("Date", 'Soruce file '!$1:$1, 0)), $B$1, INDEX('Soruce file '!$A:$Z, 0, MATCH("GA*", 'Soruce file '!$1:$1, 0)), $A21), 0)</f>
        <v>0</v>
      </c>
      <c r="C21" s="17">
        <f>IFERROR(SUMIFS(INDEX('Soruce file '!$A:$Z, 0, MATCH("No Seatbelt", 'Soruce file '!$1:$1, 0)), INDEX('Soruce file '!$A:$Z, 0, MATCH("Date", 'Soruce file '!$1:$1, 0)), $B$1, INDEX('Soruce file '!$A:$Z, 0, MATCH("GA*", 'Soruce file '!$1:$1, 0)), $A21), 0)</f>
        <v>0</v>
      </c>
      <c r="D21" s="17">
        <f>IFERROR(SUMIFS(INDEX('Soruce file '!$A:$Z, 0, MATCH("Yawning", 'Soruce file '!$1:$1, 0)), INDEX('Soruce file '!$A:$Z, 0, MATCH("Date", 'Soruce file '!$1:$1, 0)), $B$1, INDEX('Soruce file '!$A:$Z, 0, MATCH("GA*", 'Soruce file '!$1:$1, 0)), $A21), 0)</f>
        <v>0</v>
      </c>
      <c r="E21" s="17">
        <f>IFERROR(SUMIFS(INDEX('Soruce file '!$A:$Z, 0, MATCH("Fatigue", 'Soruce file '!$1:$1, 0)), INDEX('Soruce file '!$A:$Z, 0, MATCH("Date", 'Soruce file '!$1:$1, 0)), $B$1, INDEX('Soruce file '!$A:$Z, 0, MATCH("GA*", 'Soruce file '!$1:$1, 0)), $A21), 0)</f>
        <v>0</v>
      </c>
      <c r="F21" s="17">
        <f>IFERROR(SUMIFS(INDEX('Soruce file '!$A:$Z, 0, MATCH("Harsh Braking", 'Soruce file '!$1:$1, 0)), INDEX('Soruce file '!$A:$Z, 0, MATCH("Date", 'Soruce file '!$1:$1, 0)), $B$1, INDEX('Soruce file '!$A:$Z, 0, MATCH("GA*", 'Soruce file '!$1:$1, 0)), $A21), 0)</f>
        <v>0</v>
      </c>
      <c r="G21" s="17">
        <f>IFERROR(SUMIFS(INDEX('Soruce file '!$A:$Z, 0, MATCH("Overspeed", 'Soruce file '!$1:$1, 0)), INDEX('Soruce file '!$A:$Z, 0, MATCH("Date", 'Soruce file '!$1:$1, 0)), $B$1, INDEX('Soruce file '!$A:$Z, 0, MATCH("GA*", 'Soruce file '!$1:$1, 0)), $A21), 0)</f>
        <v>0</v>
      </c>
      <c r="H21" s="17">
        <f>IFERROR(SUMIFS(INDEX('Soruce file '!$A:$Z, 0, MATCH("Sudden Acceleration", 'Soruce file '!$1:$1, 0)), INDEX('Soruce file '!$A:$Z, 0, MATCH("Date", 'Soruce file '!$1:$1, 0)), $B$1, INDEX('Soruce file '!$A:$Z, 0, MATCH("GA*", 'Soruce file '!$1:$1, 0)), $A21), 0)</f>
        <v>0</v>
      </c>
      <c r="I21" s="17">
        <f>IFERROR(SUMIFS(INDEX('Soruce file '!$A:$Z, 0, MATCH("Camera Anomaly", 'Soruce file '!$1:$1, 0)), INDEX('Soruce file '!$A:$Z, 0, MATCH("Date", 'Soruce file '!$1:$1, 0)), $B$1, INDEX('Soruce file '!$A:$Z, 0, MATCH("GA*", 'Soruce file '!$1:$1, 0)), $A21), 0)</f>
        <v>0</v>
      </c>
      <c r="J21" s="17">
        <f>IFERROR(SUMIFS(INDEX('Soruce file '!$A:$Z, 0, MATCH("CD", 'Soruce file '!$1:$1, 0)), INDEX('Soruce file '!$A:$Z, 0, MATCH("Date", 'Soruce file '!$1:$1, 0)), $B$1, INDEX('Soruce file '!$A:$Z, 0, MATCH("GA*", 'Soruce file '!$1:$1, 0)), $A21), 0)</f>
        <v>0</v>
      </c>
      <c r="K21" s="17">
        <f>IFERROR(SUMIFS(INDEX('Soruce file '!$A:$Z, 0, MATCH("Night Driving", 'Soruce file '!$1:$1, 0)), INDEX('Soruce file '!$A:$Z, 0, MATCH("Date", 'Soruce file '!$1:$1, 0)), $B$1, INDEX('Soruce file '!$A:$Z, 0, MATCH("GA*", 'Soruce file '!$1:$1, 0)), $A21), 0)</f>
        <v>0</v>
      </c>
      <c r="L21" s="17">
        <f t="shared" si="0"/>
        <v>0</v>
      </c>
    </row>
    <row r="22" spans="1:12">
      <c r="A22" s="8" t="s">
        <v>582</v>
      </c>
      <c r="B22" s="17">
        <f>IFERROR(SUMIFS(INDEX('Soruce file '!$A:$Z, 0, MATCH("Mobile Usage", 'Soruce file '!$1:$1, 0)), INDEX('Soruce file '!$A:$Z, 0, MATCH("Date", 'Soruce file '!$1:$1, 0)), $B$1, INDEX('Soruce file '!$A:$Z, 0, MATCH("GA*", 'Soruce file '!$1:$1, 0)), $A22), 0)</f>
        <v>0</v>
      </c>
      <c r="C22" s="17">
        <f>IFERROR(SUMIFS(INDEX('Soruce file '!$A:$Z, 0, MATCH("No Seatbelt", 'Soruce file '!$1:$1, 0)), INDEX('Soruce file '!$A:$Z, 0, MATCH("Date", 'Soruce file '!$1:$1, 0)), $B$1, INDEX('Soruce file '!$A:$Z, 0, MATCH("GA*", 'Soruce file '!$1:$1, 0)), $A22), 0)</f>
        <v>0</v>
      </c>
      <c r="D22" s="17">
        <f>IFERROR(SUMIFS(INDEX('Soruce file '!$A:$Z, 0, MATCH("Yawning", 'Soruce file '!$1:$1, 0)), INDEX('Soruce file '!$A:$Z, 0, MATCH("Date", 'Soruce file '!$1:$1, 0)), $B$1, INDEX('Soruce file '!$A:$Z, 0, MATCH("GA*", 'Soruce file '!$1:$1, 0)), $A22), 0)</f>
        <v>0</v>
      </c>
      <c r="E22" s="17">
        <f>IFERROR(SUMIFS(INDEX('Soruce file '!$A:$Z, 0, MATCH("Fatigue", 'Soruce file '!$1:$1, 0)), INDEX('Soruce file '!$A:$Z, 0, MATCH("Date", 'Soruce file '!$1:$1, 0)), $B$1, INDEX('Soruce file '!$A:$Z, 0, MATCH("GA*", 'Soruce file '!$1:$1, 0)), $A22), 0)</f>
        <v>0</v>
      </c>
      <c r="F22" s="17">
        <f>IFERROR(SUMIFS(INDEX('Soruce file '!$A:$Z, 0, MATCH("Harsh Braking", 'Soruce file '!$1:$1, 0)), INDEX('Soruce file '!$A:$Z, 0, MATCH("Date", 'Soruce file '!$1:$1, 0)), $B$1, INDEX('Soruce file '!$A:$Z, 0, MATCH("GA*", 'Soruce file '!$1:$1, 0)), $A22), 0)</f>
        <v>0</v>
      </c>
      <c r="G22" s="17">
        <f>IFERROR(SUMIFS(INDEX('Soruce file '!$A:$Z, 0, MATCH("Overspeed", 'Soruce file '!$1:$1, 0)), INDEX('Soruce file '!$A:$Z, 0, MATCH("Date", 'Soruce file '!$1:$1, 0)), $B$1, INDEX('Soruce file '!$A:$Z, 0, MATCH("GA*", 'Soruce file '!$1:$1, 0)), $A22), 0)</f>
        <v>0</v>
      </c>
      <c r="H22" s="17">
        <f>IFERROR(SUMIFS(INDEX('Soruce file '!$A:$Z, 0, MATCH("Sudden Acceleration", 'Soruce file '!$1:$1, 0)), INDEX('Soruce file '!$A:$Z, 0, MATCH("Date", 'Soruce file '!$1:$1, 0)), $B$1, INDEX('Soruce file '!$A:$Z, 0, MATCH("GA*", 'Soruce file '!$1:$1, 0)), $A22), 0)</f>
        <v>0</v>
      </c>
      <c r="I22" s="17">
        <f>IFERROR(SUMIFS(INDEX('Soruce file '!$A:$Z, 0, MATCH("Camera Anomaly", 'Soruce file '!$1:$1, 0)), INDEX('Soruce file '!$A:$Z, 0, MATCH("Date", 'Soruce file '!$1:$1, 0)), $B$1, INDEX('Soruce file '!$A:$Z, 0, MATCH("GA*", 'Soruce file '!$1:$1, 0)), $A22), 0)</f>
        <v>0</v>
      </c>
      <c r="J22" s="17">
        <f>IFERROR(SUMIFS(INDEX('Soruce file '!$A:$Z, 0, MATCH("CD", 'Soruce file '!$1:$1, 0)), INDEX('Soruce file '!$A:$Z, 0, MATCH("Date", 'Soruce file '!$1:$1, 0)), $B$1, INDEX('Soruce file '!$A:$Z, 0, MATCH("GA*", 'Soruce file '!$1:$1, 0)), $A22), 0)</f>
        <v>0</v>
      </c>
      <c r="K22" s="17">
        <f>IFERROR(SUMIFS(INDEX('Soruce file '!$A:$Z, 0, MATCH("Night Driving", 'Soruce file '!$1:$1, 0)), INDEX('Soruce file '!$A:$Z, 0, MATCH("Date", 'Soruce file '!$1:$1, 0)), $B$1, INDEX('Soruce file '!$A:$Z, 0, MATCH("GA*", 'Soruce file '!$1:$1, 0)), $A22), 0)</f>
        <v>0</v>
      </c>
      <c r="L22" s="17">
        <f t="shared" si="0"/>
        <v>0</v>
      </c>
    </row>
    <row r="23" spans="1:12">
      <c r="A23" s="8" t="s">
        <v>32</v>
      </c>
      <c r="B23" s="17">
        <f>IFERROR(SUMIFS(INDEX('Soruce file '!$A:$Z, 0, MATCH("Mobile Usage", 'Soruce file '!$1:$1, 0)), INDEX('Soruce file '!$A:$Z, 0, MATCH("Date", 'Soruce file '!$1:$1, 0)), $B$1, INDEX('Soruce file '!$A:$Z, 0, MATCH("GA*", 'Soruce file '!$1:$1, 0)), $A23), 0)</f>
        <v>1</v>
      </c>
      <c r="C23" s="17">
        <f>IFERROR(SUMIFS(INDEX('Soruce file '!$A:$Z, 0, MATCH("No Seatbelt", 'Soruce file '!$1:$1, 0)), INDEX('Soruce file '!$A:$Z, 0, MATCH("Date", 'Soruce file '!$1:$1, 0)), $B$1, INDEX('Soruce file '!$A:$Z, 0, MATCH("GA*", 'Soruce file '!$1:$1, 0)), $A23), 0)</f>
        <v>0</v>
      </c>
      <c r="D23" s="17">
        <f>IFERROR(SUMIFS(INDEX('Soruce file '!$A:$Z, 0, MATCH("Yawning", 'Soruce file '!$1:$1, 0)), INDEX('Soruce file '!$A:$Z, 0, MATCH("Date", 'Soruce file '!$1:$1, 0)), $B$1, INDEX('Soruce file '!$A:$Z, 0, MATCH("GA*", 'Soruce file '!$1:$1, 0)), $A23), 0)</f>
        <v>0</v>
      </c>
      <c r="E23" s="17">
        <f>IFERROR(SUMIFS(INDEX('Soruce file '!$A:$Z, 0, MATCH("Fatigue", 'Soruce file '!$1:$1, 0)), INDEX('Soruce file '!$A:$Z, 0, MATCH("Date", 'Soruce file '!$1:$1, 0)), $B$1, INDEX('Soruce file '!$A:$Z, 0, MATCH("GA*", 'Soruce file '!$1:$1, 0)), $A23), 0)</f>
        <v>0</v>
      </c>
      <c r="F23" s="17">
        <f>IFERROR(SUMIFS(INDEX('Soruce file '!$A:$Z, 0, MATCH("Harsh Braking", 'Soruce file '!$1:$1, 0)), INDEX('Soruce file '!$A:$Z, 0, MATCH("Date", 'Soruce file '!$1:$1, 0)), $B$1, INDEX('Soruce file '!$A:$Z, 0, MATCH("GA*", 'Soruce file '!$1:$1, 0)), $A23), 0)</f>
        <v>0</v>
      </c>
      <c r="G23" s="17">
        <f>IFERROR(SUMIFS(INDEX('Soruce file '!$A:$Z, 0, MATCH("Overspeed", 'Soruce file '!$1:$1, 0)), INDEX('Soruce file '!$A:$Z, 0, MATCH("Date", 'Soruce file '!$1:$1, 0)), $B$1, INDEX('Soruce file '!$A:$Z, 0, MATCH("GA*", 'Soruce file '!$1:$1, 0)), $A23), 0)</f>
        <v>0</v>
      </c>
      <c r="H23" s="17">
        <f>IFERROR(SUMIFS(INDEX('Soruce file '!$A:$Z, 0, MATCH("Sudden Acceleration", 'Soruce file '!$1:$1, 0)), INDEX('Soruce file '!$A:$Z, 0, MATCH("Date", 'Soruce file '!$1:$1, 0)), $B$1, INDEX('Soruce file '!$A:$Z, 0, MATCH("GA*", 'Soruce file '!$1:$1, 0)), $A23), 0)</f>
        <v>0</v>
      </c>
      <c r="I23" s="17">
        <f>IFERROR(SUMIFS(INDEX('Soruce file '!$A:$Z, 0, MATCH("Camera Anomaly", 'Soruce file '!$1:$1, 0)), INDEX('Soruce file '!$A:$Z, 0, MATCH("Date", 'Soruce file '!$1:$1, 0)), $B$1, INDEX('Soruce file '!$A:$Z, 0, MATCH("GA*", 'Soruce file '!$1:$1, 0)), $A23), 0)</f>
        <v>0</v>
      </c>
      <c r="J23" s="17">
        <f>IFERROR(SUMIFS(INDEX('Soruce file '!$A:$Z, 0, MATCH("CD", 'Soruce file '!$1:$1, 0)), INDEX('Soruce file '!$A:$Z, 0, MATCH("Date", 'Soruce file '!$1:$1, 0)), $B$1, INDEX('Soruce file '!$A:$Z, 0, MATCH("GA*", 'Soruce file '!$1:$1, 0)), $A23), 0)</f>
        <v>0</v>
      </c>
      <c r="K23" s="17">
        <f>IFERROR(SUMIFS(INDEX('Soruce file '!$A:$Z, 0, MATCH("Night Driving", 'Soruce file '!$1:$1, 0)), INDEX('Soruce file '!$A:$Z, 0, MATCH("Date", 'Soruce file '!$1:$1, 0)), $B$1, INDEX('Soruce file '!$A:$Z, 0, MATCH("GA*", 'Soruce file '!$1:$1, 0)), $A23), 0)</f>
        <v>0</v>
      </c>
      <c r="L23" s="17">
        <f t="shared" si="0"/>
        <v>1</v>
      </c>
    </row>
    <row r="24" spans="1:12">
      <c r="A24" s="8" t="s">
        <v>47</v>
      </c>
      <c r="B24" s="17">
        <f>IFERROR(SUMIFS(INDEX('Soruce file '!$A:$Z, 0, MATCH("Mobile Usage", 'Soruce file '!$1:$1, 0)), INDEX('Soruce file '!$A:$Z, 0, MATCH("Date", 'Soruce file '!$1:$1, 0)), $B$1, INDEX('Soruce file '!$A:$Z, 0, MATCH("GA*", 'Soruce file '!$1:$1, 0)), $A24), 0)</f>
        <v>0</v>
      </c>
      <c r="C24" s="17">
        <f>IFERROR(SUMIFS(INDEX('Soruce file '!$A:$Z, 0, MATCH("No Seatbelt", 'Soruce file '!$1:$1, 0)), INDEX('Soruce file '!$A:$Z, 0, MATCH("Date", 'Soruce file '!$1:$1, 0)), $B$1, INDEX('Soruce file '!$A:$Z, 0, MATCH("GA*", 'Soruce file '!$1:$1, 0)), $A24), 0)</f>
        <v>0</v>
      </c>
      <c r="D24" s="17">
        <f>IFERROR(SUMIFS(INDEX('Soruce file '!$A:$Z, 0, MATCH("Yawning", 'Soruce file '!$1:$1, 0)), INDEX('Soruce file '!$A:$Z, 0, MATCH("Date", 'Soruce file '!$1:$1, 0)), $B$1, INDEX('Soruce file '!$A:$Z, 0, MATCH("GA*", 'Soruce file '!$1:$1, 0)), $A24), 0)</f>
        <v>0</v>
      </c>
      <c r="E24" s="17">
        <f>IFERROR(SUMIFS(INDEX('Soruce file '!$A:$Z, 0, MATCH("Fatigue", 'Soruce file '!$1:$1, 0)), INDEX('Soruce file '!$A:$Z, 0, MATCH("Date", 'Soruce file '!$1:$1, 0)), $B$1, INDEX('Soruce file '!$A:$Z, 0, MATCH("GA*", 'Soruce file '!$1:$1, 0)), $A24), 0)</f>
        <v>0</v>
      </c>
      <c r="F24" s="17">
        <f>IFERROR(SUMIFS(INDEX('Soruce file '!$A:$Z, 0, MATCH("Harsh Braking", 'Soruce file '!$1:$1, 0)), INDEX('Soruce file '!$A:$Z, 0, MATCH("Date", 'Soruce file '!$1:$1, 0)), $B$1, INDEX('Soruce file '!$A:$Z, 0, MATCH("GA*", 'Soruce file '!$1:$1, 0)), $A24), 0)</f>
        <v>0</v>
      </c>
      <c r="G24" s="17">
        <f>IFERROR(SUMIFS(INDEX('Soruce file '!$A:$Z, 0, MATCH("Overspeed", 'Soruce file '!$1:$1, 0)), INDEX('Soruce file '!$A:$Z, 0, MATCH("Date", 'Soruce file '!$1:$1, 0)), $B$1, INDEX('Soruce file '!$A:$Z, 0, MATCH("GA*", 'Soruce file '!$1:$1, 0)), $A24), 0)</f>
        <v>0</v>
      </c>
      <c r="H24" s="17">
        <f>IFERROR(SUMIFS(INDEX('Soruce file '!$A:$Z, 0, MATCH("Sudden Acceleration", 'Soruce file '!$1:$1, 0)), INDEX('Soruce file '!$A:$Z, 0, MATCH("Date", 'Soruce file '!$1:$1, 0)), $B$1, INDEX('Soruce file '!$A:$Z, 0, MATCH("GA*", 'Soruce file '!$1:$1, 0)), $A24), 0)</f>
        <v>0</v>
      </c>
      <c r="I24" s="17">
        <f>IFERROR(SUMIFS(INDEX('Soruce file '!$A:$Z, 0, MATCH("Camera Anomaly", 'Soruce file '!$1:$1, 0)), INDEX('Soruce file '!$A:$Z, 0, MATCH("Date", 'Soruce file '!$1:$1, 0)), $B$1, INDEX('Soruce file '!$A:$Z, 0, MATCH("GA*", 'Soruce file '!$1:$1, 0)), $A24), 0)</f>
        <v>0</v>
      </c>
      <c r="J24" s="17">
        <f>IFERROR(SUMIFS(INDEX('Soruce file '!$A:$Z, 0, MATCH("CD", 'Soruce file '!$1:$1, 0)), INDEX('Soruce file '!$A:$Z, 0, MATCH("Date", 'Soruce file '!$1:$1, 0)), $B$1, INDEX('Soruce file '!$A:$Z, 0, MATCH("GA*", 'Soruce file '!$1:$1, 0)), $A24), 0)</f>
        <v>0</v>
      </c>
      <c r="K24" s="17">
        <f>IFERROR(SUMIFS(INDEX('Soruce file '!$A:$Z, 0, MATCH("Night Driving", 'Soruce file '!$1:$1, 0)), INDEX('Soruce file '!$A:$Z, 0, MATCH("Date", 'Soruce file '!$1:$1, 0)), $B$1, INDEX('Soruce file '!$A:$Z, 0, MATCH("GA*", 'Soruce file '!$1:$1, 0)), $A24), 0)</f>
        <v>0</v>
      </c>
      <c r="L24" s="17">
        <f t="shared" si="0"/>
        <v>0</v>
      </c>
    </row>
    <row r="25" spans="1:12">
      <c r="A25" s="11" t="s">
        <v>559</v>
      </c>
      <c r="B25" s="17">
        <f t="shared" ref="B25:K25" si="1">SUM(B3:B24)</f>
        <v>6</v>
      </c>
      <c r="C25" s="17">
        <f t="shared" si="1"/>
        <v>2</v>
      </c>
      <c r="D25" s="17">
        <f t="shared" si="1"/>
        <v>0</v>
      </c>
      <c r="E25" s="17">
        <f t="shared" si="1"/>
        <v>1</v>
      </c>
      <c r="F25" s="17">
        <f t="shared" si="1"/>
        <v>0</v>
      </c>
      <c r="G25" s="17">
        <f t="shared" si="1"/>
        <v>1</v>
      </c>
      <c r="H25" s="17">
        <f t="shared" si="1"/>
        <v>0</v>
      </c>
      <c r="I25" s="17">
        <f t="shared" si="1"/>
        <v>2</v>
      </c>
      <c r="J25" s="17">
        <f t="shared" si="1"/>
        <v>0</v>
      </c>
      <c r="K25" s="17">
        <f t="shared" si="1"/>
        <v>0</v>
      </c>
      <c r="L25" s="17">
        <f>SUM(B25:K25)</f>
        <v>12</v>
      </c>
    </row>
  </sheetData>
  <conditionalFormatting sqref="A3:A25">
    <cfRule type="duplicateValues" dxfId="9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57CE9-A023-4DAB-94F0-17C00608EED3}">
  <dimension ref="A1:N59"/>
  <sheetViews>
    <sheetView topLeftCell="A34" zoomScale="78" workbookViewId="0">
      <selection activeCell="O12" sqref="O12"/>
    </sheetView>
  </sheetViews>
  <sheetFormatPr defaultRowHeight="14.5"/>
  <cols>
    <col min="1" max="1" width="18.453125" bestFit="1" customWidth="1"/>
    <col min="2" max="2" width="18.54296875" customWidth="1"/>
    <col min="3" max="3" width="12.81640625" customWidth="1"/>
    <col min="4" max="4" width="10.90625" customWidth="1"/>
    <col min="5" max="5" width="12.453125" bestFit="1" customWidth="1"/>
    <col min="6" max="6" width="12.90625" customWidth="1"/>
    <col min="7" max="7" width="12.81640625" customWidth="1"/>
    <col min="8" max="8" width="18.08984375" bestFit="1" customWidth="1"/>
    <col min="9" max="9" width="15.1796875" bestFit="1" customWidth="1"/>
    <col min="10" max="10" width="16.81640625" bestFit="1" customWidth="1"/>
    <col min="11" max="11" width="12" customWidth="1"/>
    <col min="12" max="12" width="13.7265625" customWidth="1"/>
    <col min="13" max="13" width="12" customWidth="1"/>
    <col min="14" max="14" width="10.54296875" bestFit="1" customWidth="1"/>
  </cols>
  <sheetData>
    <row r="1" spans="1:14">
      <c r="A1" s="9" t="s">
        <v>567</v>
      </c>
      <c r="B1" s="10">
        <f>EOMONTH(MAX('Soruce file '!B:B), -1) + 1</f>
        <v>46082</v>
      </c>
    </row>
    <row r="2" spans="1:14">
      <c r="A2" s="7" t="s">
        <v>561</v>
      </c>
      <c r="B2" s="7" t="s">
        <v>16</v>
      </c>
      <c r="C2" s="7" t="s">
        <v>19</v>
      </c>
      <c r="D2" s="7" t="s">
        <v>11</v>
      </c>
      <c r="E2" s="7" t="s">
        <v>562</v>
      </c>
      <c r="F2" s="7" t="s">
        <v>563</v>
      </c>
      <c r="G2" s="7" t="s">
        <v>564</v>
      </c>
      <c r="H2" s="7" t="s">
        <v>565</v>
      </c>
      <c r="I2" s="7" t="s">
        <v>24</v>
      </c>
      <c r="J2" s="7" t="s">
        <v>566</v>
      </c>
      <c r="K2" s="7" t="s">
        <v>558</v>
      </c>
      <c r="L2" s="7" t="s">
        <v>559</v>
      </c>
    </row>
    <row r="3" spans="1:14">
      <c r="A3" s="8" t="s">
        <v>15</v>
      </c>
      <c r="B3" s="78">
        <f>IFERROR(SUMIFS(INDEX('Soruce file '!$A:$Z, 0, MATCH("Mobile Usage", 'Soruce file '!$1:$1, 0)), INDEX('Soruce file '!$A:$Z, 0, MATCH("Date", 'Soruce file '!$1:$1, 0)), "&gt;="&amp;$B$1, INDEX('Soruce file '!$A:$Z, 0, MATCH("Date", 'Soruce file '!$1:$1, 0)), "&lt;="&amp;EOMONTH($B$1,0), INDEX('Soruce file '!$A:$Z, 0, MATCH("GA*", 'Soruce file '!$1:$1, 0)), $A3), 0)</f>
        <v>17</v>
      </c>
      <c r="C3" s="59">
        <f>IFERROR(SUMIFS(INDEX('Soruce file '!$A:$Z, 0, MATCH("No Seatbelt", 'Soruce file '!$1:$1, 0)), INDEX('Soruce file '!$A:$Z, 0, MATCH("Date", 'Soruce file '!$1:$1, 0)), "&gt;="&amp;$B$1, INDEX('Soruce file '!$A:$Z, 0, MATCH("Date", 'Soruce file '!$1:$1, 0)), "&lt;="&amp;EOMONTH($B$1,0), INDEX('Soruce file '!$A:$Z, 0, MATCH("GA*", 'Soruce file '!$1:$1, 0)), $A3), 0)</f>
        <v>1</v>
      </c>
      <c r="D3" s="59">
        <f>IFERROR(SUMIFS(INDEX('Soruce file '!$A:$Z, 0, MATCH("Yawning", 'Soruce file '!$1:$1, 0)), INDEX('Soruce file '!$A:$Z, 0, MATCH("Date", 'Soruce file '!$1:$1, 0)), "&gt;="&amp;$B$1, INDEX('Soruce file '!$A:$Z, 0, MATCH("Date", 'Soruce file '!$1:$1, 0)), "&lt;="&amp;EOMONTH($B$1,0), INDEX('Soruce file '!$A:$Z, 0, MATCH("GA*", 'Soruce file '!$1:$1, 0)), $A3), 0)</f>
        <v>1</v>
      </c>
      <c r="E3" s="78">
        <f>IFERROR(SUMIFS(INDEX('Soruce file '!$A:$Z, 0, MATCH("Fatigue", 'Soruce file '!$1:$1, 0)), INDEX('Soruce file '!$A:$Z, 0, MATCH("Date", 'Soruce file '!$1:$1, 0)), "&gt;="&amp;$B$1, INDEX('Soruce file '!$A:$Z, 0, MATCH("Date", 'Soruce file '!$1:$1, 0)), "&lt;="&amp;EOMONTH($B$1,0), INDEX('Soruce file '!$A:$Z, 0, MATCH("GA*", 'Soruce file '!$1:$1, 0)), $A3), 0)</f>
        <v>1</v>
      </c>
      <c r="F3" s="59">
        <f>IFERROR(SUMIFS(INDEX('Soruce file '!$A:$Z, 0, MATCH("Harsh Braking", 'Soruce file '!$1:$1, 0)), INDEX('Soruce file '!$A:$Z, 0, MATCH("Date", 'Soruce file '!$1:$1, 0)), "&gt;="&amp;$B$1, INDEX('Soruce file '!$A:$Z, 0, MATCH("Date", 'Soruce file '!$1:$1, 0)), "&lt;="&amp;EOMONTH($B$1,0), INDEX('Soruce file '!$A:$Z, 0, MATCH("GA*", 'Soruce file '!$1:$1, 0)), $A3), 0)</f>
        <v>0</v>
      </c>
      <c r="G3" s="78">
        <f>IFERROR(SUMIFS(INDEX('Soruce file '!$A:$Z, 0, MATCH("Overspeed", 'Soruce file '!$1:$1, 0)), INDEX('Soruce file '!$A:$Z, 0, MATCH("Date", 'Soruce file '!$1:$1, 0)), "&gt;="&amp;$B$1, INDEX('Soruce file '!$A:$Z, 0, MATCH("Date", 'Soruce file '!$1:$1, 0)), "&lt;="&amp;EOMONTH($B$1,0), INDEX('Soruce file '!$A:$Z, 0, MATCH("GA*", 'Soruce file '!$1:$1, 0)), $A3), 0)</f>
        <v>6</v>
      </c>
      <c r="H3" s="59">
        <f>IFERROR(SUMIFS(INDEX('Soruce file '!$A:$Z, 0, MATCH("Sudden Acceleration", 'Soruce file '!$1:$1, 0)), INDEX('Soruce file '!$A:$Z, 0, MATCH("Date", 'Soruce file '!$1:$1, 0)), "&gt;="&amp;$B$1, INDEX('Soruce file '!$A:$Z, 0, MATCH("Date", 'Soruce file '!$1:$1, 0)), "&lt;="&amp;EOMONTH($B$1,0), INDEX('Soruce file '!$A:$Z, 0, MATCH("GA*", 'Soruce file '!$1:$1, 0)), $A3), 0)</f>
        <v>0</v>
      </c>
      <c r="I3" s="59">
        <f>IFERROR(SUMIFS(INDEX('Soruce file '!$A:$Z, 0, MATCH("Camera Anomaly", 'Soruce file '!$1:$1, 0)), INDEX('Soruce file '!$A:$Z, 0, MATCH("Date", 'Soruce file '!$1:$1, 0)), "&gt;="&amp;$B$1, INDEX('Soruce file '!$A:$Z, 0, MATCH("Date", 'Soruce file '!$1:$1, 0)), "&lt;="&amp;EOMONTH($B$1,0), INDEX('Soruce file '!$A:$Z, 0, MATCH("GA*", 'Soruce file '!$1:$1, 0)), $A3), 0)</f>
        <v>2</v>
      </c>
      <c r="J3" s="59">
        <f>IFERROR(SUMIFS(INDEX('Soruce file '!$A:$Z, 0, MATCH("CD", 'Soruce file '!$1:$1, 0)), INDEX('Soruce file '!$A:$Z, 0, MATCH("Date", 'Soruce file '!$1:$1, 0)), "&gt;="&amp;$B$1, INDEX('Soruce file '!$A:$Z, 0, MATCH("Date", 'Soruce file '!$1:$1, 0)), "&lt;="&amp;EOMONTH($B$1,0), INDEX('Soruce file '!$A:$Z, 0, MATCH("GA*", 'Soruce file '!$1:$1, 0)), $A3), 0)</f>
        <v>0</v>
      </c>
      <c r="K3" s="59">
        <f>IFERROR(SUMIFS(INDEX('Soruce file '!$A:$Z, 0, MATCH("Night Driving", 'Soruce file '!$1:$1, 0)), INDEX('Soruce file '!$A:$Z, 0, MATCH("Date", 'Soruce file '!$1:$1, 0)), "&gt;="&amp;$B$1, INDEX('Soruce file '!$A:$Z, 0, MATCH("Date", 'Soruce file '!$1:$1, 0)), "&lt;="&amp;EOMONTH($B$1,0), INDEX('Soruce file '!$A:$Z, 0, MATCH("GA*", 'Soruce file '!$1:$1, 0)), $A3), 0)</f>
        <v>0</v>
      </c>
      <c r="L3" s="17">
        <f>SUM(B3:K3)</f>
        <v>28</v>
      </c>
    </row>
    <row r="4" spans="1:14">
      <c r="A4" s="8" t="s">
        <v>34</v>
      </c>
      <c r="B4" s="78">
        <f>IFERROR(SUMIFS(INDEX('Soruce file '!$A:$Z, 0, MATCH("Mobile Usage", 'Soruce file '!$1:$1, 0)), INDEX('Soruce file '!$A:$Z, 0, MATCH("Date", 'Soruce file '!$1:$1, 0)), "&gt;="&amp;$B$1, INDEX('Soruce file '!$A:$Z, 0, MATCH("Date", 'Soruce file '!$1:$1, 0)), "&lt;="&amp;EOMONTH($B$1,0), INDEX('Soruce file '!$A:$Z, 0, MATCH("GA*", 'Soruce file '!$1:$1, 0)), $A4), 0)</f>
        <v>1</v>
      </c>
      <c r="C4" s="59">
        <f>IFERROR(SUMIFS(INDEX('Soruce file '!$A:$Z, 0, MATCH("No Seatbelt", 'Soruce file '!$1:$1, 0)), INDEX('Soruce file '!$A:$Z, 0, MATCH("Date", 'Soruce file '!$1:$1, 0)), "&gt;="&amp;$B$1, INDEX('Soruce file '!$A:$Z, 0, MATCH("Date", 'Soruce file '!$1:$1, 0)), "&lt;="&amp;EOMONTH($B$1,0), INDEX('Soruce file '!$A:$Z, 0, MATCH("GA*", 'Soruce file '!$1:$1, 0)), $A4), 0)</f>
        <v>0</v>
      </c>
      <c r="D4" s="59">
        <f>IFERROR(SUMIFS(INDEX('Soruce file '!$A:$Z, 0, MATCH("Yawning", 'Soruce file '!$1:$1, 0)), INDEX('Soruce file '!$A:$Z, 0, MATCH("Date", 'Soruce file '!$1:$1, 0)), "&gt;="&amp;$B$1, INDEX('Soruce file '!$A:$Z, 0, MATCH("Date", 'Soruce file '!$1:$1, 0)), "&lt;="&amp;EOMONTH($B$1,0), INDEX('Soruce file '!$A:$Z, 0, MATCH("GA*", 'Soruce file '!$1:$1, 0)), $A4), 0)</f>
        <v>1</v>
      </c>
      <c r="E4" s="78">
        <f>IFERROR(SUMIFS(INDEX('Soruce file '!$A:$Z, 0, MATCH("Fatigue", 'Soruce file '!$1:$1, 0)), INDEX('Soruce file '!$A:$Z, 0, MATCH("Date", 'Soruce file '!$1:$1, 0)), "&gt;="&amp;$B$1, INDEX('Soruce file '!$A:$Z, 0, MATCH("Date", 'Soruce file '!$1:$1, 0)), "&lt;="&amp;EOMONTH($B$1,0), INDEX('Soruce file '!$A:$Z, 0, MATCH("GA*", 'Soruce file '!$1:$1, 0)), $A4), 0)</f>
        <v>2</v>
      </c>
      <c r="F4" s="59">
        <f>IFERROR(SUMIFS(INDEX('Soruce file '!$A:$Z, 0, MATCH("Harsh Braking", 'Soruce file '!$1:$1, 0)), INDEX('Soruce file '!$A:$Z, 0, MATCH("Date", 'Soruce file '!$1:$1, 0)), "&gt;="&amp;$B$1, INDEX('Soruce file '!$A:$Z, 0, MATCH("Date", 'Soruce file '!$1:$1, 0)), "&lt;="&amp;EOMONTH($B$1,0), INDEX('Soruce file '!$A:$Z, 0, MATCH("GA*", 'Soruce file '!$1:$1, 0)), $A4), 0)</f>
        <v>0</v>
      </c>
      <c r="G4" s="78">
        <f>IFERROR(SUMIFS(INDEX('Soruce file '!$A:$Z, 0, MATCH("Overspeed", 'Soruce file '!$1:$1, 0)), INDEX('Soruce file '!$A:$Z, 0, MATCH("Date", 'Soruce file '!$1:$1, 0)), "&gt;="&amp;$B$1, INDEX('Soruce file '!$A:$Z, 0, MATCH("Date", 'Soruce file '!$1:$1, 0)), "&lt;="&amp;EOMONTH($B$1,0), INDEX('Soruce file '!$A:$Z, 0, MATCH("GA*", 'Soruce file '!$1:$1, 0)), $A4), 0)</f>
        <v>0</v>
      </c>
      <c r="H4" s="59">
        <f>IFERROR(SUMIFS(INDEX('Soruce file '!$A:$Z, 0, MATCH("Sudden Acceleration", 'Soruce file '!$1:$1, 0)), INDEX('Soruce file '!$A:$Z, 0, MATCH("Date", 'Soruce file '!$1:$1, 0)), "&gt;="&amp;$B$1, INDEX('Soruce file '!$A:$Z, 0, MATCH("Date", 'Soruce file '!$1:$1, 0)), "&lt;="&amp;EOMONTH($B$1,0), INDEX('Soruce file '!$A:$Z, 0, MATCH("GA*", 'Soruce file '!$1:$1, 0)), $A4), 0)</f>
        <v>0</v>
      </c>
      <c r="I4" s="59">
        <f>IFERROR(SUMIFS(INDEX('Soruce file '!$A:$Z, 0, MATCH("Camera Anomaly", 'Soruce file '!$1:$1, 0)), INDEX('Soruce file '!$A:$Z, 0, MATCH("Date", 'Soruce file '!$1:$1, 0)), "&gt;="&amp;$B$1, INDEX('Soruce file '!$A:$Z, 0, MATCH("Date", 'Soruce file '!$1:$1, 0)), "&lt;="&amp;EOMONTH($B$1,0), INDEX('Soruce file '!$A:$Z, 0, MATCH("GA*", 'Soruce file '!$1:$1, 0)), $A4), 0)</f>
        <v>1</v>
      </c>
      <c r="J4" s="59">
        <f>IFERROR(SUMIFS(INDEX('Soruce file '!$A:$Z, 0, MATCH("CD", 'Soruce file '!$1:$1, 0)), INDEX('Soruce file '!$A:$Z, 0, MATCH("Date", 'Soruce file '!$1:$1, 0)), "&gt;="&amp;$B$1, INDEX('Soruce file '!$A:$Z, 0, MATCH("Date", 'Soruce file '!$1:$1, 0)), "&lt;="&amp;EOMONTH($B$1,0), INDEX('Soruce file '!$A:$Z, 0, MATCH("GA*", 'Soruce file '!$1:$1, 0)), $A4), 0)</f>
        <v>0</v>
      </c>
      <c r="K4" s="59">
        <f>IFERROR(SUMIFS(INDEX('Soruce file '!$A:$Z, 0, MATCH("Night Driving", 'Soruce file '!$1:$1, 0)), INDEX('Soruce file '!$A:$Z, 0, MATCH("Date", 'Soruce file '!$1:$1, 0)), "&gt;="&amp;$B$1, INDEX('Soruce file '!$A:$Z, 0, MATCH("Date", 'Soruce file '!$1:$1, 0)), "&lt;="&amp;EOMONTH($B$1,0), INDEX('Soruce file '!$A:$Z, 0, MATCH("GA*", 'Soruce file '!$1:$1, 0)), $A4), 0)</f>
        <v>0</v>
      </c>
      <c r="L4" s="17">
        <f t="shared" ref="L4:L25" si="0">SUM(B4:K4)</f>
        <v>5</v>
      </c>
    </row>
    <row r="5" spans="1:14">
      <c r="A5" s="8" t="s">
        <v>459</v>
      </c>
      <c r="B5" s="78">
        <f>IFERROR(SUMIFS(INDEX('Soruce file '!$A:$Z, 0, MATCH("Mobile Usage", 'Soruce file '!$1:$1, 0)), INDEX('Soruce file '!$A:$Z, 0, MATCH("Date", 'Soruce file '!$1:$1, 0)), "&gt;="&amp;$B$1, INDEX('Soruce file '!$A:$Z, 0, MATCH("Date", 'Soruce file '!$1:$1, 0)), "&lt;="&amp;EOMONTH($B$1,0), INDEX('Soruce file '!$A:$Z, 0, MATCH("GA*", 'Soruce file '!$1:$1, 0)), $A5), 0)</f>
        <v>3</v>
      </c>
      <c r="C5" s="59">
        <f>IFERROR(SUMIFS(INDEX('Soruce file '!$A:$Z, 0, MATCH("No Seatbelt", 'Soruce file '!$1:$1, 0)), INDEX('Soruce file '!$A:$Z, 0, MATCH("Date", 'Soruce file '!$1:$1, 0)), "&gt;="&amp;$B$1, INDEX('Soruce file '!$A:$Z, 0, MATCH("Date", 'Soruce file '!$1:$1, 0)), "&lt;="&amp;EOMONTH($B$1,0), INDEX('Soruce file '!$A:$Z, 0, MATCH("GA*", 'Soruce file '!$1:$1, 0)), $A5), 0)</f>
        <v>1</v>
      </c>
      <c r="D5" s="59">
        <f>IFERROR(SUMIFS(INDEX('Soruce file '!$A:$Z, 0, MATCH("Yawning", 'Soruce file '!$1:$1, 0)), INDEX('Soruce file '!$A:$Z, 0, MATCH("Date", 'Soruce file '!$1:$1, 0)), "&gt;="&amp;$B$1, INDEX('Soruce file '!$A:$Z, 0, MATCH("Date", 'Soruce file '!$1:$1, 0)), "&lt;="&amp;EOMONTH($B$1,0), INDEX('Soruce file '!$A:$Z, 0, MATCH("GA*", 'Soruce file '!$1:$1, 0)), $A5), 0)</f>
        <v>0</v>
      </c>
      <c r="E5" s="78">
        <f>IFERROR(SUMIFS(INDEX('Soruce file '!$A:$Z, 0, MATCH("Fatigue", 'Soruce file '!$1:$1, 0)), INDEX('Soruce file '!$A:$Z, 0, MATCH("Date", 'Soruce file '!$1:$1, 0)), "&gt;="&amp;$B$1, INDEX('Soruce file '!$A:$Z, 0, MATCH("Date", 'Soruce file '!$1:$1, 0)), "&lt;="&amp;EOMONTH($B$1,0), INDEX('Soruce file '!$A:$Z, 0, MATCH("GA*", 'Soruce file '!$1:$1, 0)), $A5), 0)</f>
        <v>0</v>
      </c>
      <c r="F5" s="59">
        <f>IFERROR(SUMIFS(INDEX('Soruce file '!$A:$Z, 0, MATCH("Harsh Braking", 'Soruce file '!$1:$1, 0)), INDEX('Soruce file '!$A:$Z, 0, MATCH("Date", 'Soruce file '!$1:$1, 0)), "&gt;="&amp;$B$1, INDEX('Soruce file '!$A:$Z, 0, MATCH("Date", 'Soruce file '!$1:$1, 0)), "&lt;="&amp;EOMONTH($B$1,0), INDEX('Soruce file '!$A:$Z, 0, MATCH("GA*", 'Soruce file '!$1:$1, 0)), $A5), 0)</f>
        <v>0</v>
      </c>
      <c r="G5" s="78">
        <f>IFERROR(SUMIFS(INDEX('Soruce file '!$A:$Z, 0, MATCH("Overspeed", 'Soruce file '!$1:$1, 0)), INDEX('Soruce file '!$A:$Z, 0, MATCH("Date", 'Soruce file '!$1:$1, 0)), "&gt;="&amp;$B$1, INDEX('Soruce file '!$A:$Z, 0, MATCH("Date", 'Soruce file '!$1:$1, 0)), "&lt;="&amp;EOMONTH($B$1,0), INDEX('Soruce file '!$A:$Z, 0, MATCH("GA*", 'Soruce file '!$1:$1, 0)), $A5), 0)</f>
        <v>0</v>
      </c>
      <c r="H5" s="59">
        <f>IFERROR(SUMIFS(INDEX('Soruce file '!$A:$Z, 0, MATCH("Sudden Acceleration", 'Soruce file '!$1:$1, 0)), INDEX('Soruce file '!$A:$Z, 0, MATCH("Date", 'Soruce file '!$1:$1, 0)), "&gt;="&amp;$B$1, INDEX('Soruce file '!$A:$Z, 0, MATCH("Date", 'Soruce file '!$1:$1, 0)), "&lt;="&amp;EOMONTH($B$1,0), INDEX('Soruce file '!$A:$Z, 0, MATCH("GA*", 'Soruce file '!$1:$1, 0)), $A5), 0)</f>
        <v>0</v>
      </c>
      <c r="I5" s="59">
        <f>IFERROR(SUMIFS(INDEX('Soruce file '!$A:$Z, 0, MATCH("Camera Anomaly", 'Soruce file '!$1:$1, 0)), INDEX('Soruce file '!$A:$Z, 0, MATCH("Date", 'Soruce file '!$1:$1, 0)), "&gt;="&amp;$B$1, INDEX('Soruce file '!$A:$Z, 0, MATCH("Date", 'Soruce file '!$1:$1, 0)), "&lt;="&amp;EOMONTH($B$1,0), INDEX('Soruce file '!$A:$Z, 0, MATCH("GA*", 'Soruce file '!$1:$1, 0)), $A5), 0)</f>
        <v>0</v>
      </c>
      <c r="J5" s="59">
        <f>IFERROR(SUMIFS(INDEX('Soruce file '!$A:$Z, 0, MATCH("CD", 'Soruce file '!$1:$1, 0)), INDEX('Soruce file '!$A:$Z, 0, MATCH("Date", 'Soruce file '!$1:$1, 0)), "&gt;="&amp;$B$1, INDEX('Soruce file '!$A:$Z, 0, MATCH("Date", 'Soruce file '!$1:$1, 0)), "&lt;="&amp;EOMONTH($B$1,0), INDEX('Soruce file '!$A:$Z, 0, MATCH("GA*", 'Soruce file '!$1:$1, 0)), $A5), 0)</f>
        <v>0</v>
      </c>
      <c r="K5" s="59">
        <f>IFERROR(SUMIFS(INDEX('Soruce file '!$A:$Z, 0, MATCH("Night Driving", 'Soruce file '!$1:$1, 0)), INDEX('Soruce file '!$A:$Z, 0, MATCH("Date", 'Soruce file '!$1:$1, 0)), "&gt;="&amp;$B$1, INDEX('Soruce file '!$A:$Z, 0, MATCH("Date", 'Soruce file '!$1:$1, 0)), "&lt;="&amp;EOMONTH($B$1,0), INDEX('Soruce file '!$A:$Z, 0, MATCH("GA*", 'Soruce file '!$1:$1, 0)), $A5), 0)</f>
        <v>0</v>
      </c>
      <c r="L5" s="17">
        <f t="shared" si="0"/>
        <v>4</v>
      </c>
    </row>
    <row r="6" spans="1:14">
      <c r="A6" s="8" t="s">
        <v>414</v>
      </c>
      <c r="B6" s="78">
        <f>IFERROR(SUMIFS(INDEX('Soruce file '!$A:$Z, 0, MATCH("Mobile Usage", 'Soruce file '!$1:$1, 0)), INDEX('Soruce file '!$A:$Z, 0, MATCH("Date", 'Soruce file '!$1:$1, 0)), "&gt;="&amp;$B$1, INDEX('Soruce file '!$A:$Z, 0, MATCH("Date", 'Soruce file '!$1:$1, 0)), "&lt;="&amp;EOMONTH($B$1,0), INDEX('Soruce file '!$A:$Z, 0, MATCH("GA*", 'Soruce file '!$1:$1, 0)), $A6), 0)</f>
        <v>0</v>
      </c>
      <c r="C6" s="59">
        <f>IFERROR(SUMIFS(INDEX('Soruce file '!$A:$Z, 0, MATCH("No Seatbelt", 'Soruce file '!$1:$1, 0)), INDEX('Soruce file '!$A:$Z, 0, MATCH("Date", 'Soruce file '!$1:$1, 0)), "&gt;="&amp;$B$1, INDEX('Soruce file '!$A:$Z, 0, MATCH("Date", 'Soruce file '!$1:$1, 0)), "&lt;="&amp;EOMONTH($B$1,0), INDEX('Soruce file '!$A:$Z, 0, MATCH("GA*", 'Soruce file '!$1:$1, 0)), $A6), 0)</f>
        <v>0</v>
      </c>
      <c r="D6" s="59">
        <f>IFERROR(SUMIFS(INDEX('Soruce file '!$A:$Z, 0, MATCH("Yawning", 'Soruce file '!$1:$1, 0)), INDEX('Soruce file '!$A:$Z, 0, MATCH("Date", 'Soruce file '!$1:$1, 0)), "&gt;="&amp;$B$1, INDEX('Soruce file '!$A:$Z, 0, MATCH("Date", 'Soruce file '!$1:$1, 0)), "&lt;="&amp;EOMONTH($B$1,0), INDEX('Soruce file '!$A:$Z, 0, MATCH("GA*", 'Soruce file '!$1:$1, 0)), $A6), 0)</f>
        <v>0</v>
      </c>
      <c r="E6" s="78">
        <f>IFERROR(SUMIFS(INDEX('Soruce file '!$A:$Z, 0, MATCH("Fatigue", 'Soruce file '!$1:$1, 0)), INDEX('Soruce file '!$A:$Z, 0, MATCH("Date", 'Soruce file '!$1:$1, 0)), "&gt;="&amp;$B$1, INDEX('Soruce file '!$A:$Z, 0, MATCH("Date", 'Soruce file '!$1:$1, 0)), "&lt;="&amp;EOMONTH($B$1,0), INDEX('Soruce file '!$A:$Z, 0, MATCH("GA*", 'Soruce file '!$1:$1, 0)), $A6), 0)</f>
        <v>0</v>
      </c>
      <c r="F6" s="59">
        <f>IFERROR(SUMIFS(INDEX('Soruce file '!$A:$Z, 0, MATCH("Harsh Braking", 'Soruce file '!$1:$1, 0)), INDEX('Soruce file '!$A:$Z, 0, MATCH("Date", 'Soruce file '!$1:$1, 0)), "&gt;="&amp;$B$1, INDEX('Soruce file '!$A:$Z, 0, MATCH("Date", 'Soruce file '!$1:$1, 0)), "&lt;="&amp;EOMONTH($B$1,0), INDEX('Soruce file '!$A:$Z, 0, MATCH("GA*", 'Soruce file '!$1:$1, 0)), $A6), 0)</f>
        <v>0</v>
      </c>
      <c r="G6" s="78">
        <f>IFERROR(SUMIFS(INDEX('Soruce file '!$A:$Z, 0, MATCH("Overspeed", 'Soruce file '!$1:$1, 0)), INDEX('Soruce file '!$A:$Z, 0, MATCH("Date", 'Soruce file '!$1:$1, 0)), "&gt;="&amp;$B$1, INDEX('Soruce file '!$A:$Z, 0, MATCH("Date", 'Soruce file '!$1:$1, 0)), "&lt;="&amp;EOMONTH($B$1,0), INDEX('Soruce file '!$A:$Z, 0, MATCH("GA*", 'Soruce file '!$1:$1, 0)), $A6), 0)</f>
        <v>0</v>
      </c>
      <c r="H6" s="59">
        <f>IFERROR(SUMIFS(INDEX('Soruce file '!$A:$Z, 0, MATCH("Sudden Acceleration", 'Soruce file '!$1:$1, 0)), INDEX('Soruce file '!$A:$Z, 0, MATCH("Date", 'Soruce file '!$1:$1, 0)), "&gt;="&amp;$B$1, INDEX('Soruce file '!$A:$Z, 0, MATCH("Date", 'Soruce file '!$1:$1, 0)), "&lt;="&amp;EOMONTH($B$1,0), INDEX('Soruce file '!$A:$Z, 0, MATCH("GA*", 'Soruce file '!$1:$1, 0)), $A6), 0)</f>
        <v>0</v>
      </c>
      <c r="I6" s="59">
        <f>IFERROR(SUMIFS(INDEX('Soruce file '!$A:$Z, 0, MATCH("Camera Anomaly", 'Soruce file '!$1:$1, 0)), INDEX('Soruce file '!$A:$Z, 0, MATCH("Date", 'Soruce file '!$1:$1, 0)), "&gt;="&amp;$B$1, INDEX('Soruce file '!$A:$Z, 0, MATCH("Date", 'Soruce file '!$1:$1, 0)), "&lt;="&amp;EOMONTH($B$1,0), INDEX('Soruce file '!$A:$Z, 0, MATCH("GA*", 'Soruce file '!$1:$1, 0)), $A6), 0)</f>
        <v>0</v>
      </c>
      <c r="J6" s="59">
        <f>IFERROR(SUMIFS(INDEX('Soruce file '!$A:$Z, 0, MATCH("CD", 'Soruce file '!$1:$1, 0)), INDEX('Soruce file '!$A:$Z, 0, MATCH("Date", 'Soruce file '!$1:$1, 0)), "&gt;="&amp;$B$1, INDEX('Soruce file '!$A:$Z, 0, MATCH("Date", 'Soruce file '!$1:$1, 0)), "&lt;="&amp;EOMONTH($B$1,0), INDEX('Soruce file '!$A:$Z, 0, MATCH("GA*", 'Soruce file '!$1:$1, 0)), $A6), 0)</f>
        <v>0</v>
      </c>
      <c r="K6" s="59">
        <f>IFERROR(SUMIFS(INDEX('Soruce file '!$A:$Z, 0, MATCH("Night Driving", 'Soruce file '!$1:$1, 0)), INDEX('Soruce file '!$A:$Z, 0, MATCH("Date", 'Soruce file '!$1:$1, 0)), "&gt;="&amp;$B$1, INDEX('Soruce file '!$A:$Z, 0, MATCH("Date", 'Soruce file '!$1:$1, 0)), "&lt;="&amp;EOMONTH($B$1,0), INDEX('Soruce file '!$A:$Z, 0, MATCH("GA*", 'Soruce file '!$1:$1, 0)), $A6), 0)</f>
        <v>0</v>
      </c>
      <c r="L6" s="17">
        <f t="shared" si="0"/>
        <v>0</v>
      </c>
    </row>
    <row r="7" spans="1:14">
      <c r="A7" s="8" t="s">
        <v>260</v>
      </c>
      <c r="B7" s="78">
        <f>IFERROR(SUMIFS(INDEX('Soruce file '!$A:$Z, 0, MATCH("Mobile Usage", 'Soruce file '!$1:$1, 0)), INDEX('Soruce file '!$A:$Z, 0, MATCH("Date", 'Soruce file '!$1:$1, 0)), "&gt;="&amp;$B$1, INDEX('Soruce file '!$A:$Z, 0, MATCH("Date", 'Soruce file '!$1:$1, 0)), "&lt;="&amp;EOMONTH($B$1,0), INDEX('Soruce file '!$A:$Z, 0, MATCH("GA*", 'Soruce file '!$1:$1, 0)), $A7), 0)</f>
        <v>9</v>
      </c>
      <c r="C7" s="59">
        <f>IFERROR(SUMIFS(INDEX('Soruce file '!$A:$Z, 0, MATCH("No Seatbelt", 'Soruce file '!$1:$1, 0)), INDEX('Soruce file '!$A:$Z, 0, MATCH("Date", 'Soruce file '!$1:$1, 0)), "&gt;="&amp;$B$1, INDEX('Soruce file '!$A:$Z, 0, MATCH("Date", 'Soruce file '!$1:$1, 0)), "&lt;="&amp;EOMONTH($B$1,0), INDEX('Soruce file '!$A:$Z, 0, MATCH("GA*", 'Soruce file '!$1:$1, 0)), $A7), 0)</f>
        <v>3</v>
      </c>
      <c r="D7" s="59">
        <f>IFERROR(SUMIFS(INDEX('Soruce file '!$A:$Z, 0, MATCH("Yawning", 'Soruce file '!$1:$1, 0)), INDEX('Soruce file '!$A:$Z, 0, MATCH("Date", 'Soruce file '!$1:$1, 0)), "&gt;="&amp;$B$1, INDEX('Soruce file '!$A:$Z, 0, MATCH("Date", 'Soruce file '!$1:$1, 0)), "&lt;="&amp;EOMONTH($B$1,0), INDEX('Soruce file '!$A:$Z, 0, MATCH("GA*", 'Soruce file '!$1:$1, 0)), $A7), 0)</f>
        <v>0</v>
      </c>
      <c r="E7" s="78">
        <f>IFERROR(SUMIFS(INDEX('Soruce file '!$A:$Z, 0, MATCH("Fatigue", 'Soruce file '!$1:$1, 0)), INDEX('Soruce file '!$A:$Z, 0, MATCH("Date", 'Soruce file '!$1:$1, 0)), "&gt;="&amp;$B$1, INDEX('Soruce file '!$A:$Z, 0, MATCH("Date", 'Soruce file '!$1:$1, 0)), "&lt;="&amp;EOMONTH($B$1,0), INDEX('Soruce file '!$A:$Z, 0, MATCH("GA*", 'Soruce file '!$1:$1, 0)), $A7), 0)</f>
        <v>1</v>
      </c>
      <c r="F7" s="59">
        <f>IFERROR(SUMIFS(INDEX('Soruce file '!$A:$Z, 0, MATCH("Harsh Braking", 'Soruce file '!$1:$1, 0)), INDEX('Soruce file '!$A:$Z, 0, MATCH("Date", 'Soruce file '!$1:$1, 0)), "&gt;="&amp;$B$1, INDEX('Soruce file '!$A:$Z, 0, MATCH("Date", 'Soruce file '!$1:$1, 0)), "&lt;="&amp;EOMONTH($B$1,0), INDEX('Soruce file '!$A:$Z, 0, MATCH("GA*", 'Soruce file '!$1:$1, 0)), $A7), 0)</f>
        <v>0</v>
      </c>
      <c r="G7" s="78">
        <f>IFERROR(SUMIFS(INDEX('Soruce file '!$A:$Z, 0, MATCH("Overspeed", 'Soruce file '!$1:$1, 0)), INDEX('Soruce file '!$A:$Z, 0, MATCH("Date", 'Soruce file '!$1:$1, 0)), "&gt;="&amp;$B$1, INDEX('Soruce file '!$A:$Z, 0, MATCH("Date", 'Soruce file '!$1:$1, 0)), "&lt;="&amp;EOMONTH($B$1,0), INDEX('Soruce file '!$A:$Z, 0, MATCH("GA*", 'Soruce file '!$1:$1, 0)), $A7), 0)</f>
        <v>1</v>
      </c>
      <c r="H7" s="59">
        <f>IFERROR(SUMIFS(INDEX('Soruce file '!$A:$Z, 0, MATCH("Sudden Acceleration", 'Soruce file '!$1:$1, 0)), INDEX('Soruce file '!$A:$Z, 0, MATCH("Date", 'Soruce file '!$1:$1, 0)), "&gt;="&amp;$B$1, INDEX('Soruce file '!$A:$Z, 0, MATCH("Date", 'Soruce file '!$1:$1, 0)), "&lt;="&amp;EOMONTH($B$1,0), INDEX('Soruce file '!$A:$Z, 0, MATCH("GA*", 'Soruce file '!$1:$1, 0)), $A7), 0)</f>
        <v>0</v>
      </c>
      <c r="I7" s="59">
        <f>IFERROR(SUMIFS(INDEX('Soruce file '!$A:$Z, 0, MATCH("Camera Anomaly", 'Soruce file '!$1:$1, 0)), INDEX('Soruce file '!$A:$Z, 0, MATCH("Date", 'Soruce file '!$1:$1, 0)), "&gt;="&amp;$B$1, INDEX('Soruce file '!$A:$Z, 0, MATCH("Date", 'Soruce file '!$1:$1, 0)), "&lt;="&amp;EOMONTH($B$1,0), INDEX('Soruce file '!$A:$Z, 0, MATCH("GA*", 'Soruce file '!$1:$1, 0)), $A7), 0)</f>
        <v>0</v>
      </c>
      <c r="J7" s="59">
        <f>IFERROR(SUMIFS(INDEX('Soruce file '!$A:$Z, 0, MATCH("CD", 'Soruce file '!$1:$1, 0)), INDEX('Soruce file '!$A:$Z, 0, MATCH("Date", 'Soruce file '!$1:$1, 0)), "&gt;="&amp;$B$1, INDEX('Soruce file '!$A:$Z, 0, MATCH("Date", 'Soruce file '!$1:$1, 0)), "&lt;="&amp;EOMONTH($B$1,0), INDEX('Soruce file '!$A:$Z, 0, MATCH("GA*", 'Soruce file '!$1:$1, 0)), $A7), 0)</f>
        <v>0</v>
      </c>
      <c r="K7" s="59">
        <f>IFERROR(SUMIFS(INDEX('Soruce file '!$A:$Z, 0, MATCH("Night Driving", 'Soruce file '!$1:$1, 0)), INDEX('Soruce file '!$A:$Z, 0, MATCH("Date", 'Soruce file '!$1:$1, 0)), "&gt;="&amp;$B$1, INDEX('Soruce file '!$A:$Z, 0, MATCH("Date", 'Soruce file '!$1:$1, 0)), "&lt;="&amp;EOMONTH($B$1,0), INDEX('Soruce file '!$A:$Z, 0, MATCH("GA*", 'Soruce file '!$1:$1, 0)), $A7), 0)</f>
        <v>0</v>
      </c>
      <c r="L7" s="17">
        <f t="shared" si="0"/>
        <v>14</v>
      </c>
    </row>
    <row r="8" spans="1:14">
      <c r="A8" s="8" t="s">
        <v>27</v>
      </c>
      <c r="B8" s="78">
        <f>IFERROR(SUMIFS(INDEX('Soruce file '!$A:$Z, 0, MATCH("Mobile Usage", 'Soruce file '!$1:$1, 0)), INDEX('Soruce file '!$A:$Z, 0, MATCH("Date", 'Soruce file '!$1:$1, 0)), "&gt;="&amp;$B$1, INDEX('Soruce file '!$A:$Z, 0, MATCH("Date", 'Soruce file '!$1:$1, 0)), "&lt;="&amp;EOMONTH($B$1,0), INDEX('Soruce file '!$A:$Z, 0, MATCH("GA*", 'Soruce file '!$1:$1, 0)), $A8), 0)</f>
        <v>3</v>
      </c>
      <c r="C8" s="59">
        <f>IFERROR(SUMIFS(INDEX('Soruce file '!$A:$Z, 0, MATCH("No Seatbelt", 'Soruce file '!$1:$1, 0)), INDEX('Soruce file '!$A:$Z, 0, MATCH("Date", 'Soruce file '!$1:$1, 0)), "&gt;="&amp;$B$1, INDEX('Soruce file '!$A:$Z, 0, MATCH("Date", 'Soruce file '!$1:$1, 0)), "&lt;="&amp;EOMONTH($B$1,0), INDEX('Soruce file '!$A:$Z, 0, MATCH("GA*", 'Soruce file '!$1:$1, 0)), $A8), 0)</f>
        <v>1</v>
      </c>
      <c r="D8" s="59">
        <f>IFERROR(SUMIFS(INDEX('Soruce file '!$A:$Z, 0, MATCH("Yawning", 'Soruce file '!$1:$1, 0)), INDEX('Soruce file '!$A:$Z, 0, MATCH("Date", 'Soruce file '!$1:$1, 0)), "&gt;="&amp;$B$1, INDEX('Soruce file '!$A:$Z, 0, MATCH("Date", 'Soruce file '!$1:$1, 0)), "&lt;="&amp;EOMONTH($B$1,0), INDEX('Soruce file '!$A:$Z, 0, MATCH("GA*", 'Soruce file '!$1:$1, 0)), $A8), 0)</f>
        <v>0</v>
      </c>
      <c r="E8" s="78">
        <f>IFERROR(SUMIFS(INDEX('Soruce file '!$A:$Z, 0, MATCH("Fatigue", 'Soruce file '!$1:$1, 0)), INDEX('Soruce file '!$A:$Z, 0, MATCH("Date", 'Soruce file '!$1:$1, 0)), "&gt;="&amp;$B$1, INDEX('Soruce file '!$A:$Z, 0, MATCH("Date", 'Soruce file '!$1:$1, 0)), "&lt;="&amp;EOMONTH($B$1,0), INDEX('Soruce file '!$A:$Z, 0, MATCH("GA*", 'Soruce file '!$1:$1, 0)), $A8), 0)</f>
        <v>0</v>
      </c>
      <c r="F8" s="59">
        <f>IFERROR(SUMIFS(INDEX('Soruce file '!$A:$Z, 0, MATCH("Harsh Braking", 'Soruce file '!$1:$1, 0)), INDEX('Soruce file '!$A:$Z, 0, MATCH("Date", 'Soruce file '!$1:$1, 0)), "&gt;="&amp;$B$1, INDEX('Soruce file '!$A:$Z, 0, MATCH("Date", 'Soruce file '!$1:$1, 0)), "&lt;="&amp;EOMONTH($B$1,0), INDEX('Soruce file '!$A:$Z, 0, MATCH("GA*", 'Soruce file '!$1:$1, 0)), $A8), 0)</f>
        <v>0</v>
      </c>
      <c r="G8" s="78">
        <f>IFERROR(SUMIFS(INDEX('Soruce file '!$A:$Z, 0, MATCH("Overspeed", 'Soruce file '!$1:$1, 0)), INDEX('Soruce file '!$A:$Z, 0, MATCH("Date", 'Soruce file '!$1:$1, 0)), "&gt;="&amp;$B$1, INDEX('Soruce file '!$A:$Z, 0, MATCH("Date", 'Soruce file '!$1:$1, 0)), "&lt;="&amp;EOMONTH($B$1,0), INDEX('Soruce file '!$A:$Z, 0, MATCH("GA*", 'Soruce file '!$1:$1, 0)), $A8), 0)</f>
        <v>5</v>
      </c>
      <c r="H8" s="59">
        <f>IFERROR(SUMIFS(INDEX('Soruce file '!$A:$Z, 0, MATCH("Sudden Acceleration", 'Soruce file '!$1:$1, 0)), INDEX('Soruce file '!$A:$Z, 0, MATCH("Date", 'Soruce file '!$1:$1, 0)), "&gt;="&amp;$B$1, INDEX('Soruce file '!$A:$Z, 0, MATCH("Date", 'Soruce file '!$1:$1, 0)), "&lt;="&amp;EOMONTH($B$1,0), INDEX('Soruce file '!$A:$Z, 0, MATCH("GA*", 'Soruce file '!$1:$1, 0)), $A8), 0)</f>
        <v>0</v>
      </c>
      <c r="I8" s="59">
        <f>IFERROR(SUMIFS(INDEX('Soruce file '!$A:$Z, 0, MATCH("Camera Anomaly", 'Soruce file '!$1:$1, 0)), INDEX('Soruce file '!$A:$Z, 0, MATCH("Date", 'Soruce file '!$1:$1, 0)), "&gt;="&amp;$B$1, INDEX('Soruce file '!$A:$Z, 0, MATCH("Date", 'Soruce file '!$1:$1, 0)), "&lt;="&amp;EOMONTH($B$1,0), INDEX('Soruce file '!$A:$Z, 0, MATCH("GA*", 'Soruce file '!$1:$1, 0)), $A8), 0)</f>
        <v>2</v>
      </c>
      <c r="J8" s="59">
        <f>IFERROR(SUMIFS(INDEX('Soruce file '!$A:$Z, 0, MATCH("CD", 'Soruce file '!$1:$1, 0)), INDEX('Soruce file '!$A:$Z, 0, MATCH("Date", 'Soruce file '!$1:$1, 0)), "&gt;="&amp;$B$1, INDEX('Soruce file '!$A:$Z, 0, MATCH("Date", 'Soruce file '!$1:$1, 0)), "&lt;="&amp;EOMONTH($B$1,0), INDEX('Soruce file '!$A:$Z, 0, MATCH("GA*", 'Soruce file '!$1:$1, 0)), $A8), 0)</f>
        <v>0</v>
      </c>
      <c r="K8" s="59">
        <f>IFERROR(SUMIFS(INDEX('Soruce file '!$A:$Z, 0, MATCH("Night Driving", 'Soruce file '!$1:$1, 0)), INDEX('Soruce file '!$A:$Z, 0, MATCH("Date", 'Soruce file '!$1:$1, 0)), "&gt;="&amp;$B$1, INDEX('Soruce file '!$A:$Z, 0, MATCH("Date", 'Soruce file '!$1:$1, 0)), "&lt;="&amp;EOMONTH($B$1,0), INDEX('Soruce file '!$A:$Z, 0, MATCH("GA*", 'Soruce file '!$1:$1, 0)), $A8), 0)</f>
        <v>0</v>
      </c>
      <c r="L8" s="17">
        <f t="shared" si="0"/>
        <v>11</v>
      </c>
    </row>
    <row r="9" spans="1:14">
      <c r="A9" s="8" t="s">
        <v>128</v>
      </c>
      <c r="B9" s="78">
        <f>IFERROR(SUMIFS(INDEX('Soruce file '!$A:$Z, 0, MATCH("Mobile Usage", 'Soruce file '!$1:$1, 0)), INDEX('Soruce file '!$A:$Z, 0, MATCH("Date", 'Soruce file '!$1:$1, 0)), "&gt;="&amp;$B$1, INDEX('Soruce file '!$A:$Z, 0, MATCH("Date", 'Soruce file '!$1:$1, 0)), "&lt;="&amp;EOMONTH($B$1,0), INDEX('Soruce file '!$A:$Z, 0, MATCH("GA*", 'Soruce file '!$1:$1, 0)), $A9), 0)</f>
        <v>0</v>
      </c>
      <c r="C9" s="59">
        <f>IFERROR(SUMIFS(INDEX('Soruce file '!$A:$Z, 0, MATCH("No Seatbelt", 'Soruce file '!$1:$1, 0)), INDEX('Soruce file '!$A:$Z, 0, MATCH("Date", 'Soruce file '!$1:$1, 0)), "&gt;="&amp;$B$1, INDEX('Soruce file '!$A:$Z, 0, MATCH("Date", 'Soruce file '!$1:$1, 0)), "&lt;="&amp;EOMONTH($B$1,0), INDEX('Soruce file '!$A:$Z, 0, MATCH("GA*", 'Soruce file '!$1:$1, 0)), $A9), 0)</f>
        <v>0</v>
      </c>
      <c r="D9" s="59">
        <f>IFERROR(SUMIFS(INDEX('Soruce file '!$A:$Z, 0, MATCH("Yawning", 'Soruce file '!$1:$1, 0)), INDEX('Soruce file '!$A:$Z, 0, MATCH("Date", 'Soruce file '!$1:$1, 0)), "&gt;="&amp;$B$1, INDEX('Soruce file '!$A:$Z, 0, MATCH("Date", 'Soruce file '!$1:$1, 0)), "&lt;="&amp;EOMONTH($B$1,0), INDEX('Soruce file '!$A:$Z, 0, MATCH("GA*", 'Soruce file '!$1:$1, 0)), $A9), 0)</f>
        <v>0</v>
      </c>
      <c r="E9" s="78">
        <f>IFERROR(SUMIFS(INDEX('Soruce file '!$A:$Z, 0, MATCH("Fatigue", 'Soruce file '!$1:$1, 0)), INDEX('Soruce file '!$A:$Z, 0, MATCH("Date", 'Soruce file '!$1:$1, 0)), "&gt;="&amp;$B$1, INDEX('Soruce file '!$A:$Z, 0, MATCH("Date", 'Soruce file '!$1:$1, 0)), "&lt;="&amp;EOMONTH($B$1,0), INDEX('Soruce file '!$A:$Z, 0, MATCH("GA*", 'Soruce file '!$1:$1, 0)), $A9), 0)</f>
        <v>1</v>
      </c>
      <c r="F9" s="59">
        <f>IFERROR(SUMIFS(INDEX('Soruce file '!$A:$Z, 0, MATCH("Harsh Braking", 'Soruce file '!$1:$1, 0)), INDEX('Soruce file '!$A:$Z, 0, MATCH("Date", 'Soruce file '!$1:$1, 0)), "&gt;="&amp;$B$1, INDEX('Soruce file '!$A:$Z, 0, MATCH("Date", 'Soruce file '!$1:$1, 0)), "&lt;="&amp;EOMONTH($B$1,0), INDEX('Soruce file '!$A:$Z, 0, MATCH("GA*", 'Soruce file '!$1:$1, 0)), $A9), 0)</f>
        <v>0</v>
      </c>
      <c r="G9" s="78">
        <f>IFERROR(SUMIFS(INDEX('Soruce file '!$A:$Z, 0, MATCH("Overspeed", 'Soruce file '!$1:$1, 0)), INDEX('Soruce file '!$A:$Z, 0, MATCH("Date", 'Soruce file '!$1:$1, 0)), "&gt;="&amp;$B$1, INDEX('Soruce file '!$A:$Z, 0, MATCH("Date", 'Soruce file '!$1:$1, 0)), "&lt;="&amp;EOMONTH($B$1,0), INDEX('Soruce file '!$A:$Z, 0, MATCH("GA*", 'Soruce file '!$1:$1, 0)), $A9), 0)</f>
        <v>0</v>
      </c>
      <c r="H9" s="59">
        <f>IFERROR(SUMIFS(INDEX('Soruce file '!$A:$Z, 0, MATCH("Sudden Acceleration", 'Soruce file '!$1:$1, 0)), INDEX('Soruce file '!$A:$Z, 0, MATCH("Date", 'Soruce file '!$1:$1, 0)), "&gt;="&amp;$B$1, INDEX('Soruce file '!$A:$Z, 0, MATCH("Date", 'Soruce file '!$1:$1, 0)), "&lt;="&amp;EOMONTH($B$1,0), INDEX('Soruce file '!$A:$Z, 0, MATCH("GA*", 'Soruce file '!$1:$1, 0)), $A9), 0)</f>
        <v>0</v>
      </c>
      <c r="I9" s="59">
        <f>IFERROR(SUMIFS(INDEX('Soruce file '!$A:$Z, 0, MATCH("Camera Anomaly", 'Soruce file '!$1:$1, 0)), INDEX('Soruce file '!$A:$Z, 0, MATCH("Date", 'Soruce file '!$1:$1, 0)), "&gt;="&amp;$B$1, INDEX('Soruce file '!$A:$Z, 0, MATCH("Date", 'Soruce file '!$1:$1, 0)), "&lt;="&amp;EOMONTH($B$1,0), INDEX('Soruce file '!$A:$Z, 0, MATCH("GA*", 'Soruce file '!$1:$1, 0)), $A9), 0)</f>
        <v>0</v>
      </c>
      <c r="J9" s="59">
        <f>IFERROR(SUMIFS(INDEX('Soruce file '!$A:$Z, 0, MATCH("CD", 'Soruce file '!$1:$1, 0)), INDEX('Soruce file '!$A:$Z, 0, MATCH("Date", 'Soruce file '!$1:$1, 0)), "&gt;="&amp;$B$1, INDEX('Soruce file '!$A:$Z, 0, MATCH("Date", 'Soruce file '!$1:$1, 0)), "&lt;="&amp;EOMONTH($B$1,0), INDEX('Soruce file '!$A:$Z, 0, MATCH("GA*", 'Soruce file '!$1:$1, 0)), $A9), 0)</f>
        <v>0</v>
      </c>
      <c r="K9" s="59">
        <f>IFERROR(SUMIFS(INDEX('Soruce file '!$A:$Z, 0, MATCH("Night Driving", 'Soruce file '!$1:$1, 0)), INDEX('Soruce file '!$A:$Z, 0, MATCH("Date", 'Soruce file '!$1:$1, 0)), "&gt;="&amp;$B$1, INDEX('Soruce file '!$A:$Z, 0, MATCH("Date", 'Soruce file '!$1:$1, 0)), "&lt;="&amp;EOMONTH($B$1,0), INDEX('Soruce file '!$A:$Z, 0, MATCH("GA*", 'Soruce file '!$1:$1, 0)), $A9), 0)</f>
        <v>0</v>
      </c>
      <c r="L9" s="17">
        <f t="shared" si="0"/>
        <v>1</v>
      </c>
    </row>
    <row r="10" spans="1:14">
      <c r="A10" s="8" t="s">
        <v>23</v>
      </c>
      <c r="B10" s="78">
        <f>IFERROR(SUMIFS(INDEX('Soruce file '!$A:$Z, 0, MATCH("Mobile Usage", 'Soruce file '!$1:$1, 0)), INDEX('Soruce file '!$A:$Z, 0, MATCH("Date", 'Soruce file '!$1:$1, 0)), "&gt;="&amp;$B$1, INDEX('Soruce file '!$A:$Z, 0, MATCH("Date", 'Soruce file '!$1:$1, 0)), "&lt;="&amp;EOMONTH($B$1,0), INDEX('Soruce file '!$A:$Z, 0, MATCH("GA*", 'Soruce file '!$1:$1, 0)), $A10), 0)</f>
        <v>0</v>
      </c>
      <c r="C10" s="59">
        <f>IFERROR(SUMIFS(INDEX('Soruce file '!$A:$Z, 0, MATCH("No Seatbelt", 'Soruce file '!$1:$1, 0)), INDEX('Soruce file '!$A:$Z, 0, MATCH("Date", 'Soruce file '!$1:$1, 0)), "&gt;="&amp;$B$1, INDEX('Soruce file '!$A:$Z, 0, MATCH("Date", 'Soruce file '!$1:$1, 0)), "&lt;="&amp;EOMONTH($B$1,0), INDEX('Soruce file '!$A:$Z, 0, MATCH("GA*", 'Soruce file '!$1:$1, 0)), $A10), 0)</f>
        <v>0</v>
      </c>
      <c r="D10" s="59">
        <f>IFERROR(SUMIFS(INDEX('Soruce file '!$A:$Z, 0, MATCH("Yawning", 'Soruce file '!$1:$1, 0)), INDEX('Soruce file '!$A:$Z, 0, MATCH("Date", 'Soruce file '!$1:$1, 0)), "&gt;="&amp;$B$1, INDEX('Soruce file '!$A:$Z, 0, MATCH("Date", 'Soruce file '!$1:$1, 0)), "&lt;="&amp;EOMONTH($B$1,0), INDEX('Soruce file '!$A:$Z, 0, MATCH("GA*", 'Soruce file '!$1:$1, 0)), $A10), 0)</f>
        <v>0</v>
      </c>
      <c r="E10" s="78">
        <f>IFERROR(SUMIFS(INDEX('Soruce file '!$A:$Z, 0, MATCH("Fatigue", 'Soruce file '!$1:$1, 0)), INDEX('Soruce file '!$A:$Z, 0, MATCH("Date", 'Soruce file '!$1:$1, 0)), "&gt;="&amp;$B$1, INDEX('Soruce file '!$A:$Z, 0, MATCH("Date", 'Soruce file '!$1:$1, 0)), "&lt;="&amp;EOMONTH($B$1,0), INDEX('Soruce file '!$A:$Z, 0, MATCH("GA*", 'Soruce file '!$1:$1, 0)), $A10), 0)</f>
        <v>0</v>
      </c>
      <c r="F10" s="59">
        <f>IFERROR(SUMIFS(INDEX('Soruce file '!$A:$Z, 0, MATCH("Harsh Braking", 'Soruce file '!$1:$1, 0)), INDEX('Soruce file '!$A:$Z, 0, MATCH("Date", 'Soruce file '!$1:$1, 0)), "&gt;="&amp;$B$1, INDEX('Soruce file '!$A:$Z, 0, MATCH("Date", 'Soruce file '!$1:$1, 0)), "&lt;="&amp;EOMONTH($B$1,0), INDEX('Soruce file '!$A:$Z, 0, MATCH("GA*", 'Soruce file '!$1:$1, 0)), $A10), 0)</f>
        <v>0</v>
      </c>
      <c r="G10" s="78">
        <f>IFERROR(SUMIFS(INDEX('Soruce file '!$A:$Z, 0, MATCH("Overspeed", 'Soruce file '!$1:$1, 0)), INDEX('Soruce file '!$A:$Z, 0, MATCH("Date", 'Soruce file '!$1:$1, 0)), "&gt;="&amp;$B$1, INDEX('Soruce file '!$A:$Z, 0, MATCH("Date", 'Soruce file '!$1:$1, 0)), "&lt;="&amp;EOMONTH($B$1,0), INDEX('Soruce file '!$A:$Z, 0, MATCH("GA*", 'Soruce file '!$1:$1, 0)), $A10), 0)</f>
        <v>0</v>
      </c>
      <c r="H10" s="59">
        <f>IFERROR(SUMIFS(INDEX('Soruce file '!$A:$Z, 0, MATCH("Sudden Acceleration", 'Soruce file '!$1:$1, 0)), INDEX('Soruce file '!$A:$Z, 0, MATCH("Date", 'Soruce file '!$1:$1, 0)), "&gt;="&amp;$B$1, INDEX('Soruce file '!$A:$Z, 0, MATCH("Date", 'Soruce file '!$1:$1, 0)), "&lt;="&amp;EOMONTH($B$1,0), INDEX('Soruce file '!$A:$Z, 0, MATCH("GA*", 'Soruce file '!$1:$1, 0)), $A10), 0)</f>
        <v>0</v>
      </c>
      <c r="I10" s="59">
        <f>IFERROR(SUMIFS(INDEX('Soruce file '!$A:$Z, 0, MATCH("Camera Anomaly", 'Soruce file '!$1:$1, 0)), INDEX('Soruce file '!$A:$Z, 0, MATCH("Date", 'Soruce file '!$1:$1, 0)), "&gt;="&amp;$B$1, INDEX('Soruce file '!$A:$Z, 0, MATCH("Date", 'Soruce file '!$1:$1, 0)), "&lt;="&amp;EOMONTH($B$1,0), INDEX('Soruce file '!$A:$Z, 0, MATCH("GA*", 'Soruce file '!$1:$1, 0)), $A10), 0)</f>
        <v>0</v>
      </c>
      <c r="J10" s="59">
        <f>IFERROR(SUMIFS(INDEX('Soruce file '!$A:$Z, 0, MATCH("CD", 'Soruce file '!$1:$1, 0)), INDEX('Soruce file '!$A:$Z, 0, MATCH("Date", 'Soruce file '!$1:$1, 0)), "&gt;="&amp;$B$1, INDEX('Soruce file '!$A:$Z, 0, MATCH("Date", 'Soruce file '!$1:$1, 0)), "&lt;="&amp;EOMONTH($B$1,0), INDEX('Soruce file '!$A:$Z, 0, MATCH("GA*", 'Soruce file '!$1:$1, 0)), $A10), 0)</f>
        <v>0</v>
      </c>
      <c r="K10" s="59">
        <f>IFERROR(SUMIFS(INDEX('Soruce file '!$A:$Z, 0, MATCH("Night Driving", 'Soruce file '!$1:$1, 0)), INDEX('Soruce file '!$A:$Z, 0, MATCH("Date", 'Soruce file '!$1:$1, 0)), "&gt;="&amp;$B$1, INDEX('Soruce file '!$A:$Z, 0, MATCH("Date", 'Soruce file '!$1:$1, 0)), "&lt;="&amp;EOMONTH($B$1,0), INDEX('Soruce file '!$A:$Z, 0, MATCH("GA*", 'Soruce file '!$1:$1, 0)), $A10), 0)</f>
        <v>0</v>
      </c>
      <c r="L10" s="17">
        <f t="shared" si="0"/>
        <v>0</v>
      </c>
      <c r="N10" s="2"/>
    </row>
    <row r="11" spans="1:14">
      <c r="A11" s="8" t="s">
        <v>58</v>
      </c>
      <c r="B11" s="78">
        <f>IFERROR(SUMIFS(INDEX('Soruce file '!$A:$Z, 0, MATCH("Mobile Usage", 'Soruce file '!$1:$1, 0)), INDEX('Soruce file '!$A:$Z, 0, MATCH("Date", 'Soruce file '!$1:$1, 0)), "&gt;="&amp;$B$1, INDEX('Soruce file '!$A:$Z, 0, MATCH("Date", 'Soruce file '!$1:$1, 0)), "&lt;="&amp;EOMONTH($B$1,0), INDEX('Soruce file '!$A:$Z, 0, MATCH("GA*", 'Soruce file '!$1:$1, 0)), $A11), 0)</f>
        <v>0</v>
      </c>
      <c r="C11" s="59">
        <f>IFERROR(SUMIFS(INDEX('Soruce file '!$A:$Z, 0, MATCH("No Seatbelt", 'Soruce file '!$1:$1, 0)), INDEX('Soruce file '!$A:$Z, 0, MATCH("Date", 'Soruce file '!$1:$1, 0)), "&gt;="&amp;$B$1, INDEX('Soruce file '!$A:$Z, 0, MATCH("Date", 'Soruce file '!$1:$1, 0)), "&lt;="&amp;EOMONTH($B$1,0), INDEX('Soruce file '!$A:$Z, 0, MATCH("GA*", 'Soruce file '!$1:$1, 0)), $A11), 0)</f>
        <v>1</v>
      </c>
      <c r="D11" s="59">
        <f>IFERROR(SUMIFS(INDEX('Soruce file '!$A:$Z, 0, MATCH("Yawning", 'Soruce file '!$1:$1, 0)), INDEX('Soruce file '!$A:$Z, 0, MATCH("Date", 'Soruce file '!$1:$1, 0)), "&gt;="&amp;$B$1, INDEX('Soruce file '!$A:$Z, 0, MATCH("Date", 'Soruce file '!$1:$1, 0)), "&lt;="&amp;EOMONTH($B$1,0), INDEX('Soruce file '!$A:$Z, 0, MATCH("GA*", 'Soruce file '!$1:$1, 0)), $A11), 0)</f>
        <v>0</v>
      </c>
      <c r="E11" s="78">
        <f>IFERROR(SUMIFS(INDEX('Soruce file '!$A:$Z, 0, MATCH("Fatigue", 'Soruce file '!$1:$1, 0)), INDEX('Soruce file '!$A:$Z, 0, MATCH("Date", 'Soruce file '!$1:$1, 0)), "&gt;="&amp;$B$1, INDEX('Soruce file '!$A:$Z, 0, MATCH("Date", 'Soruce file '!$1:$1, 0)), "&lt;="&amp;EOMONTH($B$1,0), INDEX('Soruce file '!$A:$Z, 0, MATCH("GA*", 'Soruce file '!$1:$1, 0)), $A11), 0)</f>
        <v>1</v>
      </c>
      <c r="F11" s="59">
        <f>IFERROR(SUMIFS(INDEX('Soruce file '!$A:$Z, 0, MATCH("Harsh Braking", 'Soruce file '!$1:$1, 0)), INDEX('Soruce file '!$A:$Z, 0, MATCH("Date", 'Soruce file '!$1:$1, 0)), "&gt;="&amp;$B$1, INDEX('Soruce file '!$A:$Z, 0, MATCH("Date", 'Soruce file '!$1:$1, 0)), "&lt;="&amp;EOMONTH($B$1,0), INDEX('Soruce file '!$A:$Z, 0, MATCH("GA*", 'Soruce file '!$1:$1, 0)), $A11), 0)</f>
        <v>0</v>
      </c>
      <c r="G11" s="78">
        <f>IFERROR(SUMIFS(INDEX('Soruce file '!$A:$Z, 0, MATCH("Overspeed", 'Soruce file '!$1:$1, 0)), INDEX('Soruce file '!$A:$Z, 0, MATCH("Date", 'Soruce file '!$1:$1, 0)), "&gt;="&amp;$B$1, INDEX('Soruce file '!$A:$Z, 0, MATCH("Date", 'Soruce file '!$1:$1, 0)), "&lt;="&amp;EOMONTH($B$1,0), INDEX('Soruce file '!$A:$Z, 0, MATCH("GA*", 'Soruce file '!$1:$1, 0)), $A11), 0)</f>
        <v>0</v>
      </c>
      <c r="H11" s="59">
        <f>IFERROR(SUMIFS(INDEX('Soruce file '!$A:$Z, 0, MATCH("Sudden Acceleration", 'Soruce file '!$1:$1, 0)), INDEX('Soruce file '!$A:$Z, 0, MATCH("Date", 'Soruce file '!$1:$1, 0)), "&gt;="&amp;$B$1, INDEX('Soruce file '!$A:$Z, 0, MATCH("Date", 'Soruce file '!$1:$1, 0)), "&lt;="&amp;EOMONTH($B$1,0), INDEX('Soruce file '!$A:$Z, 0, MATCH("GA*", 'Soruce file '!$1:$1, 0)), $A11), 0)</f>
        <v>0</v>
      </c>
      <c r="I11" s="59">
        <f>IFERROR(SUMIFS(INDEX('Soruce file '!$A:$Z, 0, MATCH("Camera Anomaly", 'Soruce file '!$1:$1, 0)), INDEX('Soruce file '!$A:$Z, 0, MATCH("Date", 'Soruce file '!$1:$1, 0)), "&gt;="&amp;$B$1, INDEX('Soruce file '!$A:$Z, 0, MATCH("Date", 'Soruce file '!$1:$1, 0)), "&lt;="&amp;EOMONTH($B$1,0), INDEX('Soruce file '!$A:$Z, 0, MATCH("GA*", 'Soruce file '!$1:$1, 0)), $A11), 0)</f>
        <v>0</v>
      </c>
      <c r="J11" s="59">
        <f>IFERROR(SUMIFS(INDEX('Soruce file '!$A:$Z, 0, MATCH("CD", 'Soruce file '!$1:$1, 0)), INDEX('Soruce file '!$A:$Z, 0, MATCH("Date", 'Soruce file '!$1:$1, 0)), "&gt;="&amp;$B$1, INDEX('Soruce file '!$A:$Z, 0, MATCH("Date", 'Soruce file '!$1:$1, 0)), "&lt;="&amp;EOMONTH($B$1,0), INDEX('Soruce file '!$A:$Z, 0, MATCH("GA*", 'Soruce file '!$1:$1, 0)), $A11), 0)</f>
        <v>0</v>
      </c>
      <c r="K11" s="59">
        <f>IFERROR(SUMIFS(INDEX('Soruce file '!$A:$Z, 0, MATCH("Night Driving", 'Soruce file '!$1:$1, 0)), INDEX('Soruce file '!$A:$Z, 0, MATCH("Date", 'Soruce file '!$1:$1, 0)), "&gt;="&amp;$B$1, INDEX('Soruce file '!$A:$Z, 0, MATCH("Date", 'Soruce file '!$1:$1, 0)), "&lt;="&amp;EOMONTH($B$1,0), INDEX('Soruce file '!$A:$Z, 0, MATCH("GA*", 'Soruce file '!$1:$1, 0)), $A11), 0)</f>
        <v>0</v>
      </c>
      <c r="L11" s="17">
        <f t="shared" si="0"/>
        <v>2</v>
      </c>
      <c r="N11" s="2"/>
    </row>
    <row r="12" spans="1:14">
      <c r="A12" s="8" t="s">
        <v>10</v>
      </c>
      <c r="B12" s="78">
        <f>IFERROR(SUMIFS(INDEX('Soruce file '!$A:$Z, 0, MATCH("Mobile Usage", 'Soruce file '!$1:$1, 0)), INDEX('Soruce file '!$A:$Z, 0, MATCH("Date", 'Soruce file '!$1:$1, 0)), "&gt;="&amp;$B$1, INDEX('Soruce file '!$A:$Z, 0, MATCH("Date", 'Soruce file '!$1:$1, 0)), "&lt;="&amp;EOMONTH($B$1,0), INDEX('Soruce file '!$A:$Z, 0, MATCH("GA*", 'Soruce file '!$1:$1, 0)), $A12), 0)</f>
        <v>7</v>
      </c>
      <c r="C12" s="59">
        <f>IFERROR(SUMIFS(INDEX('Soruce file '!$A:$Z, 0, MATCH("No Seatbelt", 'Soruce file '!$1:$1, 0)), INDEX('Soruce file '!$A:$Z, 0, MATCH("Date", 'Soruce file '!$1:$1, 0)), "&gt;="&amp;$B$1, INDEX('Soruce file '!$A:$Z, 0, MATCH("Date", 'Soruce file '!$1:$1, 0)), "&lt;="&amp;EOMONTH($B$1,0), INDEX('Soruce file '!$A:$Z, 0, MATCH("GA*", 'Soruce file '!$1:$1, 0)), $A12), 0)</f>
        <v>5</v>
      </c>
      <c r="D12" s="59">
        <f>IFERROR(SUMIFS(INDEX('Soruce file '!$A:$Z, 0, MATCH("Yawning", 'Soruce file '!$1:$1, 0)), INDEX('Soruce file '!$A:$Z, 0, MATCH("Date", 'Soruce file '!$1:$1, 0)), "&gt;="&amp;$B$1, INDEX('Soruce file '!$A:$Z, 0, MATCH("Date", 'Soruce file '!$1:$1, 0)), "&lt;="&amp;EOMONTH($B$1,0), INDEX('Soruce file '!$A:$Z, 0, MATCH("GA*", 'Soruce file '!$1:$1, 0)), $A12), 0)</f>
        <v>0</v>
      </c>
      <c r="E12" s="78">
        <f>IFERROR(SUMIFS(INDEX('Soruce file '!$A:$Z, 0, MATCH("Fatigue", 'Soruce file '!$1:$1, 0)), INDEX('Soruce file '!$A:$Z, 0, MATCH("Date", 'Soruce file '!$1:$1, 0)), "&gt;="&amp;$B$1, INDEX('Soruce file '!$A:$Z, 0, MATCH("Date", 'Soruce file '!$1:$1, 0)), "&lt;="&amp;EOMONTH($B$1,0), INDEX('Soruce file '!$A:$Z, 0, MATCH("GA*", 'Soruce file '!$1:$1, 0)), $A12), 0)</f>
        <v>1</v>
      </c>
      <c r="F12" s="59">
        <f>IFERROR(SUMIFS(INDEX('Soruce file '!$A:$Z, 0, MATCH("Harsh Braking", 'Soruce file '!$1:$1, 0)), INDEX('Soruce file '!$A:$Z, 0, MATCH("Date", 'Soruce file '!$1:$1, 0)), "&gt;="&amp;$B$1, INDEX('Soruce file '!$A:$Z, 0, MATCH("Date", 'Soruce file '!$1:$1, 0)), "&lt;="&amp;EOMONTH($B$1,0), INDEX('Soruce file '!$A:$Z, 0, MATCH("GA*", 'Soruce file '!$1:$1, 0)), $A12), 0)</f>
        <v>0</v>
      </c>
      <c r="G12" s="78">
        <f>IFERROR(SUMIFS(INDEX('Soruce file '!$A:$Z, 0, MATCH("Overspeed", 'Soruce file '!$1:$1, 0)), INDEX('Soruce file '!$A:$Z, 0, MATCH("Date", 'Soruce file '!$1:$1, 0)), "&gt;="&amp;$B$1, INDEX('Soruce file '!$A:$Z, 0, MATCH("Date", 'Soruce file '!$1:$1, 0)), "&lt;="&amp;EOMONTH($B$1,0), INDEX('Soruce file '!$A:$Z, 0, MATCH("GA*", 'Soruce file '!$1:$1, 0)), $A12), 0)</f>
        <v>0</v>
      </c>
      <c r="H12" s="59">
        <f>IFERROR(SUMIFS(INDEX('Soruce file '!$A:$Z, 0, MATCH("Sudden Acceleration", 'Soruce file '!$1:$1, 0)), INDEX('Soruce file '!$A:$Z, 0, MATCH("Date", 'Soruce file '!$1:$1, 0)), "&gt;="&amp;$B$1, INDEX('Soruce file '!$A:$Z, 0, MATCH("Date", 'Soruce file '!$1:$1, 0)), "&lt;="&amp;EOMONTH($B$1,0), INDEX('Soruce file '!$A:$Z, 0, MATCH("GA*", 'Soruce file '!$1:$1, 0)), $A12), 0)</f>
        <v>0</v>
      </c>
      <c r="I12" s="59">
        <f>IFERROR(SUMIFS(INDEX('Soruce file '!$A:$Z, 0, MATCH("Camera Anomaly", 'Soruce file '!$1:$1, 0)), INDEX('Soruce file '!$A:$Z, 0, MATCH("Date", 'Soruce file '!$1:$1, 0)), "&gt;="&amp;$B$1, INDEX('Soruce file '!$A:$Z, 0, MATCH("Date", 'Soruce file '!$1:$1, 0)), "&lt;="&amp;EOMONTH($B$1,0), INDEX('Soruce file '!$A:$Z, 0, MATCH("GA*", 'Soruce file '!$1:$1, 0)), $A12), 0)</f>
        <v>0</v>
      </c>
      <c r="J12" s="59">
        <f>IFERROR(SUMIFS(INDEX('Soruce file '!$A:$Z, 0, MATCH("CD", 'Soruce file '!$1:$1, 0)), INDEX('Soruce file '!$A:$Z, 0, MATCH("Date", 'Soruce file '!$1:$1, 0)), "&gt;="&amp;$B$1, INDEX('Soruce file '!$A:$Z, 0, MATCH("Date", 'Soruce file '!$1:$1, 0)), "&lt;="&amp;EOMONTH($B$1,0), INDEX('Soruce file '!$A:$Z, 0, MATCH("GA*", 'Soruce file '!$1:$1, 0)), $A12), 0)</f>
        <v>0</v>
      </c>
      <c r="K12" s="59">
        <f>IFERROR(SUMIFS(INDEX('Soruce file '!$A:$Z, 0, MATCH("Night Driving", 'Soruce file '!$1:$1, 0)), INDEX('Soruce file '!$A:$Z, 0, MATCH("Date", 'Soruce file '!$1:$1, 0)), "&gt;="&amp;$B$1, INDEX('Soruce file '!$A:$Z, 0, MATCH("Date", 'Soruce file '!$1:$1, 0)), "&lt;="&amp;EOMONTH($B$1,0), INDEX('Soruce file '!$A:$Z, 0, MATCH("GA*", 'Soruce file '!$1:$1, 0)), $A12), 0)</f>
        <v>0</v>
      </c>
      <c r="L12" s="17">
        <f t="shared" si="0"/>
        <v>13</v>
      </c>
      <c r="N12" s="2"/>
    </row>
    <row r="13" spans="1:14">
      <c r="A13" s="8" t="s">
        <v>18</v>
      </c>
      <c r="B13" s="78">
        <f>IFERROR(SUMIFS(INDEX('Soruce file '!$A:$Z, 0, MATCH("Mobile Usage", 'Soruce file '!$1:$1, 0)), INDEX('Soruce file '!$A:$Z, 0, MATCH("Date", 'Soruce file '!$1:$1, 0)), "&gt;="&amp;$B$1, INDEX('Soruce file '!$A:$Z, 0, MATCH("Date", 'Soruce file '!$1:$1, 0)), "&lt;="&amp;EOMONTH($B$1,0), INDEX('Soruce file '!$A:$Z, 0, MATCH("GA*", 'Soruce file '!$1:$1, 0)), $A13), 0)</f>
        <v>7</v>
      </c>
      <c r="C13" s="59">
        <f>IFERROR(SUMIFS(INDEX('Soruce file '!$A:$Z, 0, MATCH("No Seatbelt", 'Soruce file '!$1:$1, 0)), INDEX('Soruce file '!$A:$Z, 0, MATCH("Date", 'Soruce file '!$1:$1, 0)), "&gt;="&amp;$B$1, INDEX('Soruce file '!$A:$Z, 0, MATCH("Date", 'Soruce file '!$1:$1, 0)), "&lt;="&amp;EOMONTH($B$1,0), INDEX('Soruce file '!$A:$Z, 0, MATCH("GA*", 'Soruce file '!$1:$1, 0)), $A13), 0)</f>
        <v>0</v>
      </c>
      <c r="D13" s="59">
        <f>IFERROR(SUMIFS(INDEX('Soruce file '!$A:$Z, 0, MATCH("Yawning", 'Soruce file '!$1:$1, 0)), INDEX('Soruce file '!$A:$Z, 0, MATCH("Date", 'Soruce file '!$1:$1, 0)), "&gt;="&amp;$B$1, INDEX('Soruce file '!$A:$Z, 0, MATCH("Date", 'Soruce file '!$1:$1, 0)), "&lt;="&amp;EOMONTH($B$1,0), INDEX('Soruce file '!$A:$Z, 0, MATCH("GA*", 'Soruce file '!$1:$1, 0)), $A13), 0)</f>
        <v>0</v>
      </c>
      <c r="E13" s="78">
        <f>IFERROR(SUMIFS(INDEX('Soruce file '!$A:$Z, 0, MATCH("Fatigue", 'Soruce file '!$1:$1, 0)), INDEX('Soruce file '!$A:$Z, 0, MATCH("Date", 'Soruce file '!$1:$1, 0)), "&gt;="&amp;$B$1, INDEX('Soruce file '!$A:$Z, 0, MATCH("Date", 'Soruce file '!$1:$1, 0)), "&lt;="&amp;EOMONTH($B$1,0), INDEX('Soruce file '!$A:$Z, 0, MATCH("GA*", 'Soruce file '!$1:$1, 0)), $A13), 0)</f>
        <v>2</v>
      </c>
      <c r="F13" s="59">
        <f>IFERROR(SUMIFS(INDEX('Soruce file '!$A:$Z, 0, MATCH("Harsh Braking", 'Soruce file '!$1:$1, 0)), INDEX('Soruce file '!$A:$Z, 0, MATCH("Date", 'Soruce file '!$1:$1, 0)), "&gt;="&amp;$B$1, INDEX('Soruce file '!$A:$Z, 0, MATCH("Date", 'Soruce file '!$1:$1, 0)), "&lt;="&amp;EOMONTH($B$1,0), INDEX('Soruce file '!$A:$Z, 0, MATCH("GA*", 'Soruce file '!$1:$1, 0)), $A13), 0)</f>
        <v>0</v>
      </c>
      <c r="G13" s="78">
        <f>IFERROR(SUMIFS(INDEX('Soruce file '!$A:$Z, 0, MATCH("Overspeed", 'Soruce file '!$1:$1, 0)), INDEX('Soruce file '!$A:$Z, 0, MATCH("Date", 'Soruce file '!$1:$1, 0)), "&gt;="&amp;$B$1, INDEX('Soruce file '!$A:$Z, 0, MATCH("Date", 'Soruce file '!$1:$1, 0)), "&lt;="&amp;EOMONTH($B$1,0), INDEX('Soruce file '!$A:$Z, 0, MATCH("GA*", 'Soruce file '!$1:$1, 0)), $A13), 0)</f>
        <v>2</v>
      </c>
      <c r="H13" s="59">
        <f>IFERROR(SUMIFS(INDEX('Soruce file '!$A:$Z, 0, MATCH("Sudden Acceleration", 'Soruce file '!$1:$1, 0)), INDEX('Soruce file '!$A:$Z, 0, MATCH("Date", 'Soruce file '!$1:$1, 0)), "&gt;="&amp;$B$1, INDEX('Soruce file '!$A:$Z, 0, MATCH("Date", 'Soruce file '!$1:$1, 0)), "&lt;="&amp;EOMONTH($B$1,0), INDEX('Soruce file '!$A:$Z, 0, MATCH("GA*", 'Soruce file '!$1:$1, 0)), $A13), 0)</f>
        <v>0</v>
      </c>
      <c r="I13" s="59">
        <f>IFERROR(SUMIFS(INDEX('Soruce file '!$A:$Z, 0, MATCH("Camera Anomaly", 'Soruce file '!$1:$1, 0)), INDEX('Soruce file '!$A:$Z, 0, MATCH("Date", 'Soruce file '!$1:$1, 0)), "&gt;="&amp;$B$1, INDEX('Soruce file '!$A:$Z, 0, MATCH("Date", 'Soruce file '!$1:$1, 0)), "&lt;="&amp;EOMONTH($B$1,0), INDEX('Soruce file '!$A:$Z, 0, MATCH("GA*", 'Soruce file '!$1:$1, 0)), $A13), 0)</f>
        <v>6</v>
      </c>
      <c r="J13" s="59">
        <f>IFERROR(SUMIFS(INDEX('Soruce file '!$A:$Z, 0, MATCH("CD", 'Soruce file '!$1:$1, 0)), INDEX('Soruce file '!$A:$Z, 0, MATCH("Date", 'Soruce file '!$1:$1, 0)), "&gt;="&amp;$B$1, INDEX('Soruce file '!$A:$Z, 0, MATCH("Date", 'Soruce file '!$1:$1, 0)), "&lt;="&amp;EOMONTH($B$1,0), INDEX('Soruce file '!$A:$Z, 0, MATCH("GA*", 'Soruce file '!$1:$1, 0)), $A13), 0)</f>
        <v>0</v>
      </c>
      <c r="K13" s="59">
        <f>IFERROR(SUMIFS(INDEX('Soruce file '!$A:$Z, 0, MATCH("Night Driving", 'Soruce file '!$1:$1, 0)), INDEX('Soruce file '!$A:$Z, 0, MATCH("Date", 'Soruce file '!$1:$1, 0)), "&gt;="&amp;$B$1, INDEX('Soruce file '!$A:$Z, 0, MATCH("Date", 'Soruce file '!$1:$1, 0)), "&lt;="&amp;EOMONTH($B$1,0), INDEX('Soruce file '!$A:$Z, 0, MATCH("GA*", 'Soruce file '!$1:$1, 0)), $A13), 0)</f>
        <v>0</v>
      </c>
      <c r="L13" s="17">
        <f t="shared" si="0"/>
        <v>17</v>
      </c>
      <c r="N13" s="2"/>
    </row>
    <row r="14" spans="1:14">
      <c r="A14" s="8" t="s">
        <v>42</v>
      </c>
      <c r="B14" s="78">
        <f>IFERROR(SUMIFS(INDEX('Soruce file '!$A:$Z, 0, MATCH("Mobile Usage", 'Soruce file '!$1:$1, 0)), INDEX('Soruce file '!$A:$Z, 0, MATCH("Date", 'Soruce file '!$1:$1, 0)), "&gt;="&amp;$B$1, INDEX('Soruce file '!$A:$Z, 0, MATCH("Date", 'Soruce file '!$1:$1, 0)), "&lt;="&amp;EOMONTH($B$1,0), INDEX('Soruce file '!$A:$Z, 0, MATCH("GA*", 'Soruce file '!$1:$1, 0)), $A14), 0)</f>
        <v>0</v>
      </c>
      <c r="C14" s="59">
        <f>IFERROR(SUMIFS(INDEX('Soruce file '!$A:$Z, 0, MATCH("No Seatbelt", 'Soruce file '!$1:$1, 0)), INDEX('Soruce file '!$A:$Z, 0, MATCH("Date", 'Soruce file '!$1:$1, 0)), "&gt;="&amp;$B$1, INDEX('Soruce file '!$A:$Z, 0, MATCH("Date", 'Soruce file '!$1:$1, 0)), "&lt;="&amp;EOMONTH($B$1,0), INDEX('Soruce file '!$A:$Z, 0, MATCH("GA*", 'Soruce file '!$1:$1, 0)), $A14), 0)</f>
        <v>0</v>
      </c>
      <c r="D14" s="59">
        <f>IFERROR(SUMIFS(INDEX('Soruce file '!$A:$Z, 0, MATCH("Yawning", 'Soruce file '!$1:$1, 0)), INDEX('Soruce file '!$A:$Z, 0, MATCH("Date", 'Soruce file '!$1:$1, 0)), "&gt;="&amp;$B$1, INDEX('Soruce file '!$A:$Z, 0, MATCH("Date", 'Soruce file '!$1:$1, 0)), "&lt;="&amp;EOMONTH($B$1,0), INDEX('Soruce file '!$A:$Z, 0, MATCH("GA*", 'Soruce file '!$1:$1, 0)), $A14), 0)</f>
        <v>1</v>
      </c>
      <c r="E14" s="78">
        <f>IFERROR(SUMIFS(INDEX('Soruce file '!$A:$Z, 0, MATCH("Fatigue", 'Soruce file '!$1:$1, 0)), INDEX('Soruce file '!$A:$Z, 0, MATCH("Date", 'Soruce file '!$1:$1, 0)), "&gt;="&amp;$B$1, INDEX('Soruce file '!$A:$Z, 0, MATCH("Date", 'Soruce file '!$1:$1, 0)), "&lt;="&amp;EOMONTH($B$1,0), INDEX('Soruce file '!$A:$Z, 0, MATCH("GA*", 'Soruce file '!$1:$1, 0)), $A14), 0)</f>
        <v>0</v>
      </c>
      <c r="F14" s="59">
        <f>IFERROR(SUMIFS(INDEX('Soruce file '!$A:$Z, 0, MATCH("Harsh Braking", 'Soruce file '!$1:$1, 0)), INDEX('Soruce file '!$A:$Z, 0, MATCH("Date", 'Soruce file '!$1:$1, 0)), "&gt;="&amp;$B$1, INDEX('Soruce file '!$A:$Z, 0, MATCH("Date", 'Soruce file '!$1:$1, 0)), "&lt;="&amp;EOMONTH($B$1,0), INDEX('Soruce file '!$A:$Z, 0, MATCH("GA*", 'Soruce file '!$1:$1, 0)), $A14), 0)</f>
        <v>0</v>
      </c>
      <c r="G14" s="78">
        <f>IFERROR(SUMIFS(INDEX('Soruce file '!$A:$Z, 0, MATCH("Overspeed", 'Soruce file '!$1:$1, 0)), INDEX('Soruce file '!$A:$Z, 0, MATCH("Date", 'Soruce file '!$1:$1, 0)), "&gt;="&amp;$B$1, INDEX('Soruce file '!$A:$Z, 0, MATCH("Date", 'Soruce file '!$1:$1, 0)), "&lt;="&amp;EOMONTH($B$1,0), INDEX('Soruce file '!$A:$Z, 0, MATCH("GA*", 'Soruce file '!$1:$1, 0)), $A14), 0)</f>
        <v>0</v>
      </c>
      <c r="H14" s="59">
        <f>IFERROR(SUMIFS(INDEX('Soruce file '!$A:$Z, 0, MATCH("Sudden Acceleration", 'Soruce file '!$1:$1, 0)), INDEX('Soruce file '!$A:$Z, 0, MATCH("Date", 'Soruce file '!$1:$1, 0)), "&gt;="&amp;$B$1, INDEX('Soruce file '!$A:$Z, 0, MATCH("Date", 'Soruce file '!$1:$1, 0)), "&lt;="&amp;EOMONTH($B$1,0), INDEX('Soruce file '!$A:$Z, 0, MATCH("GA*", 'Soruce file '!$1:$1, 0)), $A14), 0)</f>
        <v>0</v>
      </c>
      <c r="I14" s="59">
        <f>IFERROR(SUMIFS(INDEX('Soruce file '!$A:$Z, 0, MATCH("Camera Anomaly", 'Soruce file '!$1:$1, 0)), INDEX('Soruce file '!$A:$Z, 0, MATCH("Date", 'Soruce file '!$1:$1, 0)), "&gt;="&amp;$B$1, INDEX('Soruce file '!$A:$Z, 0, MATCH("Date", 'Soruce file '!$1:$1, 0)), "&lt;="&amp;EOMONTH($B$1,0), INDEX('Soruce file '!$A:$Z, 0, MATCH("GA*", 'Soruce file '!$1:$1, 0)), $A14), 0)</f>
        <v>0</v>
      </c>
      <c r="J14" s="59">
        <f>IFERROR(SUMIFS(INDEX('Soruce file '!$A:$Z, 0, MATCH("CD", 'Soruce file '!$1:$1, 0)), INDEX('Soruce file '!$A:$Z, 0, MATCH("Date", 'Soruce file '!$1:$1, 0)), "&gt;="&amp;$B$1, INDEX('Soruce file '!$A:$Z, 0, MATCH("Date", 'Soruce file '!$1:$1, 0)), "&lt;="&amp;EOMONTH($B$1,0), INDEX('Soruce file '!$A:$Z, 0, MATCH("GA*", 'Soruce file '!$1:$1, 0)), $A14), 0)</f>
        <v>0</v>
      </c>
      <c r="K14" s="59">
        <f>IFERROR(SUMIFS(INDEX('Soruce file '!$A:$Z, 0, MATCH("Night Driving", 'Soruce file '!$1:$1, 0)), INDEX('Soruce file '!$A:$Z, 0, MATCH("Date", 'Soruce file '!$1:$1, 0)), "&gt;="&amp;$B$1, INDEX('Soruce file '!$A:$Z, 0, MATCH("Date", 'Soruce file '!$1:$1, 0)), "&lt;="&amp;EOMONTH($B$1,0), INDEX('Soruce file '!$A:$Z, 0, MATCH("GA*", 'Soruce file '!$1:$1, 0)), $A14), 0)</f>
        <v>0</v>
      </c>
      <c r="L14" s="17">
        <f t="shared" si="0"/>
        <v>1</v>
      </c>
      <c r="N14" s="2"/>
    </row>
    <row r="15" spans="1:14">
      <c r="A15" s="8" t="s">
        <v>417</v>
      </c>
      <c r="B15" s="78">
        <f>IFERROR(SUMIFS(INDEX('Soruce file '!$A:$Z, 0, MATCH("Mobile Usage", 'Soruce file '!$1:$1, 0)), INDEX('Soruce file '!$A:$Z, 0, MATCH("Date", 'Soruce file '!$1:$1, 0)), "&gt;="&amp;$B$1, INDEX('Soruce file '!$A:$Z, 0, MATCH("Date", 'Soruce file '!$1:$1, 0)), "&lt;="&amp;EOMONTH($B$1,0), INDEX('Soruce file '!$A:$Z, 0, MATCH("GA*", 'Soruce file '!$1:$1, 0)), $A15), 0)</f>
        <v>4</v>
      </c>
      <c r="C15" s="59">
        <f>IFERROR(SUMIFS(INDEX('Soruce file '!$A:$Z, 0, MATCH("No Seatbelt", 'Soruce file '!$1:$1, 0)), INDEX('Soruce file '!$A:$Z, 0, MATCH("Date", 'Soruce file '!$1:$1, 0)), "&gt;="&amp;$B$1, INDEX('Soruce file '!$A:$Z, 0, MATCH("Date", 'Soruce file '!$1:$1, 0)), "&lt;="&amp;EOMONTH($B$1,0), INDEX('Soruce file '!$A:$Z, 0, MATCH("GA*", 'Soruce file '!$1:$1, 0)), $A15), 0)</f>
        <v>4</v>
      </c>
      <c r="D15" s="59">
        <f>IFERROR(SUMIFS(INDEX('Soruce file '!$A:$Z, 0, MATCH("Yawning", 'Soruce file '!$1:$1, 0)), INDEX('Soruce file '!$A:$Z, 0, MATCH("Date", 'Soruce file '!$1:$1, 0)), "&gt;="&amp;$B$1, INDEX('Soruce file '!$A:$Z, 0, MATCH("Date", 'Soruce file '!$1:$1, 0)), "&lt;="&amp;EOMONTH($B$1,0), INDEX('Soruce file '!$A:$Z, 0, MATCH("GA*", 'Soruce file '!$1:$1, 0)), $A15), 0)</f>
        <v>1</v>
      </c>
      <c r="E15" s="78">
        <f>IFERROR(SUMIFS(INDEX('Soruce file '!$A:$Z, 0, MATCH("Fatigue", 'Soruce file '!$1:$1, 0)), INDEX('Soruce file '!$A:$Z, 0, MATCH("Date", 'Soruce file '!$1:$1, 0)), "&gt;="&amp;$B$1, INDEX('Soruce file '!$A:$Z, 0, MATCH("Date", 'Soruce file '!$1:$1, 0)), "&lt;="&amp;EOMONTH($B$1,0), INDEX('Soruce file '!$A:$Z, 0, MATCH("GA*", 'Soruce file '!$1:$1, 0)), $A15), 0)</f>
        <v>4</v>
      </c>
      <c r="F15" s="59">
        <f>IFERROR(SUMIFS(INDEX('Soruce file '!$A:$Z, 0, MATCH("Harsh Braking", 'Soruce file '!$1:$1, 0)), INDEX('Soruce file '!$A:$Z, 0, MATCH("Date", 'Soruce file '!$1:$1, 0)), "&gt;="&amp;$B$1, INDEX('Soruce file '!$A:$Z, 0, MATCH("Date", 'Soruce file '!$1:$1, 0)), "&lt;="&amp;EOMONTH($B$1,0), INDEX('Soruce file '!$A:$Z, 0, MATCH("GA*", 'Soruce file '!$1:$1, 0)), $A15), 0)</f>
        <v>0</v>
      </c>
      <c r="G15" s="78">
        <f>IFERROR(SUMIFS(INDEX('Soruce file '!$A:$Z, 0, MATCH("Overspeed", 'Soruce file '!$1:$1, 0)), INDEX('Soruce file '!$A:$Z, 0, MATCH("Date", 'Soruce file '!$1:$1, 0)), "&gt;="&amp;$B$1, INDEX('Soruce file '!$A:$Z, 0, MATCH("Date", 'Soruce file '!$1:$1, 0)), "&lt;="&amp;EOMONTH($B$1,0), INDEX('Soruce file '!$A:$Z, 0, MATCH("GA*", 'Soruce file '!$1:$1, 0)), $A15), 0)</f>
        <v>0</v>
      </c>
      <c r="H15" s="59">
        <f>IFERROR(SUMIFS(INDEX('Soruce file '!$A:$Z, 0, MATCH("Sudden Acceleration", 'Soruce file '!$1:$1, 0)), INDEX('Soruce file '!$A:$Z, 0, MATCH("Date", 'Soruce file '!$1:$1, 0)), "&gt;="&amp;$B$1, INDEX('Soruce file '!$A:$Z, 0, MATCH("Date", 'Soruce file '!$1:$1, 0)), "&lt;="&amp;EOMONTH($B$1,0), INDEX('Soruce file '!$A:$Z, 0, MATCH("GA*", 'Soruce file '!$1:$1, 0)), $A15), 0)</f>
        <v>0</v>
      </c>
      <c r="I15" s="59">
        <f>IFERROR(SUMIFS(INDEX('Soruce file '!$A:$Z, 0, MATCH("Camera Anomaly", 'Soruce file '!$1:$1, 0)), INDEX('Soruce file '!$A:$Z, 0, MATCH("Date", 'Soruce file '!$1:$1, 0)), "&gt;="&amp;$B$1, INDEX('Soruce file '!$A:$Z, 0, MATCH("Date", 'Soruce file '!$1:$1, 0)), "&lt;="&amp;EOMONTH($B$1,0), INDEX('Soruce file '!$A:$Z, 0, MATCH("GA*", 'Soruce file '!$1:$1, 0)), $A15), 0)</f>
        <v>1</v>
      </c>
      <c r="J15" s="59">
        <f>IFERROR(SUMIFS(INDEX('Soruce file '!$A:$Z, 0, MATCH("CD", 'Soruce file '!$1:$1, 0)), INDEX('Soruce file '!$A:$Z, 0, MATCH("Date", 'Soruce file '!$1:$1, 0)), "&gt;="&amp;$B$1, INDEX('Soruce file '!$A:$Z, 0, MATCH("Date", 'Soruce file '!$1:$1, 0)), "&lt;="&amp;EOMONTH($B$1,0), INDEX('Soruce file '!$A:$Z, 0, MATCH("GA*", 'Soruce file '!$1:$1, 0)), $A15), 0)</f>
        <v>0</v>
      </c>
      <c r="K15" s="59">
        <f>IFERROR(SUMIFS(INDEX('Soruce file '!$A:$Z, 0, MATCH("Night Driving", 'Soruce file '!$1:$1, 0)), INDEX('Soruce file '!$A:$Z, 0, MATCH("Date", 'Soruce file '!$1:$1, 0)), "&gt;="&amp;$B$1, INDEX('Soruce file '!$A:$Z, 0, MATCH("Date", 'Soruce file '!$1:$1, 0)), "&lt;="&amp;EOMONTH($B$1,0), INDEX('Soruce file '!$A:$Z, 0, MATCH("GA*", 'Soruce file '!$1:$1, 0)), $A15), 0)</f>
        <v>0</v>
      </c>
      <c r="L15" s="17">
        <f t="shared" si="0"/>
        <v>14</v>
      </c>
      <c r="N15" s="2"/>
    </row>
    <row r="16" spans="1:14">
      <c r="A16" s="8" t="s">
        <v>21</v>
      </c>
      <c r="B16" s="78">
        <f>IFERROR(SUMIFS(INDEX('Soruce file '!$A:$Z, 0, MATCH("Mobile Usage", 'Soruce file '!$1:$1, 0)), INDEX('Soruce file '!$A:$Z, 0, MATCH("Date", 'Soruce file '!$1:$1, 0)), "&gt;="&amp;$B$1, INDEX('Soruce file '!$A:$Z, 0, MATCH("Date", 'Soruce file '!$1:$1, 0)), "&lt;="&amp;EOMONTH($B$1,0), INDEX('Soruce file '!$A:$Z, 0, MATCH("GA*", 'Soruce file '!$1:$1, 0)), $A16), 0)</f>
        <v>16</v>
      </c>
      <c r="C16" s="59">
        <f>IFERROR(SUMIFS(INDEX('Soruce file '!$A:$Z, 0, MATCH("No Seatbelt", 'Soruce file '!$1:$1, 0)), INDEX('Soruce file '!$A:$Z, 0, MATCH("Date", 'Soruce file '!$1:$1, 0)), "&gt;="&amp;$B$1, INDEX('Soruce file '!$A:$Z, 0, MATCH("Date", 'Soruce file '!$1:$1, 0)), "&lt;="&amp;EOMONTH($B$1,0), INDEX('Soruce file '!$A:$Z, 0, MATCH("GA*", 'Soruce file '!$1:$1, 0)), $A16), 0)</f>
        <v>1</v>
      </c>
      <c r="D16" s="59">
        <f>IFERROR(SUMIFS(INDEX('Soruce file '!$A:$Z, 0, MATCH("Yawning", 'Soruce file '!$1:$1, 0)), INDEX('Soruce file '!$A:$Z, 0, MATCH("Date", 'Soruce file '!$1:$1, 0)), "&gt;="&amp;$B$1, INDEX('Soruce file '!$A:$Z, 0, MATCH("Date", 'Soruce file '!$1:$1, 0)), "&lt;="&amp;EOMONTH($B$1,0), INDEX('Soruce file '!$A:$Z, 0, MATCH("GA*", 'Soruce file '!$1:$1, 0)), $A16), 0)</f>
        <v>0</v>
      </c>
      <c r="E16" s="78">
        <f>IFERROR(SUMIFS(INDEX('Soruce file '!$A:$Z, 0, MATCH("Fatigue", 'Soruce file '!$1:$1, 0)), INDEX('Soruce file '!$A:$Z, 0, MATCH("Date", 'Soruce file '!$1:$1, 0)), "&gt;="&amp;$B$1, INDEX('Soruce file '!$A:$Z, 0, MATCH("Date", 'Soruce file '!$1:$1, 0)), "&lt;="&amp;EOMONTH($B$1,0), INDEX('Soruce file '!$A:$Z, 0, MATCH("GA*", 'Soruce file '!$1:$1, 0)), $A16), 0)</f>
        <v>1</v>
      </c>
      <c r="F16" s="59">
        <f>IFERROR(SUMIFS(INDEX('Soruce file '!$A:$Z, 0, MATCH("Harsh Braking", 'Soruce file '!$1:$1, 0)), INDEX('Soruce file '!$A:$Z, 0, MATCH("Date", 'Soruce file '!$1:$1, 0)), "&gt;="&amp;$B$1, INDEX('Soruce file '!$A:$Z, 0, MATCH("Date", 'Soruce file '!$1:$1, 0)), "&lt;="&amp;EOMONTH($B$1,0), INDEX('Soruce file '!$A:$Z, 0, MATCH("GA*", 'Soruce file '!$1:$1, 0)), $A16), 0)</f>
        <v>0</v>
      </c>
      <c r="G16" s="78">
        <f>IFERROR(SUMIFS(INDEX('Soruce file '!$A:$Z, 0, MATCH("Overspeed", 'Soruce file '!$1:$1, 0)), INDEX('Soruce file '!$A:$Z, 0, MATCH("Date", 'Soruce file '!$1:$1, 0)), "&gt;="&amp;$B$1, INDEX('Soruce file '!$A:$Z, 0, MATCH("Date", 'Soruce file '!$1:$1, 0)), "&lt;="&amp;EOMONTH($B$1,0), INDEX('Soruce file '!$A:$Z, 0, MATCH("GA*", 'Soruce file '!$1:$1, 0)), $A16), 0)</f>
        <v>0</v>
      </c>
      <c r="H16" s="59">
        <f>IFERROR(SUMIFS(INDEX('Soruce file '!$A:$Z, 0, MATCH("Sudden Acceleration", 'Soruce file '!$1:$1, 0)), INDEX('Soruce file '!$A:$Z, 0, MATCH("Date", 'Soruce file '!$1:$1, 0)), "&gt;="&amp;$B$1, INDEX('Soruce file '!$A:$Z, 0, MATCH("Date", 'Soruce file '!$1:$1, 0)), "&lt;="&amp;EOMONTH($B$1,0), INDEX('Soruce file '!$A:$Z, 0, MATCH("GA*", 'Soruce file '!$1:$1, 0)), $A16), 0)</f>
        <v>0</v>
      </c>
      <c r="I16" s="59">
        <f>IFERROR(SUMIFS(INDEX('Soruce file '!$A:$Z, 0, MATCH("Camera Anomaly", 'Soruce file '!$1:$1, 0)), INDEX('Soruce file '!$A:$Z, 0, MATCH("Date", 'Soruce file '!$1:$1, 0)), "&gt;="&amp;$B$1, INDEX('Soruce file '!$A:$Z, 0, MATCH("Date", 'Soruce file '!$1:$1, 0)), "&lt;="&amp;EOMONTH($B$1,0), INDEX('Soruce file '!$A:$Z, 0, MATCH("GA*", 'Soruce file '!$1:$1, 0)), $A16), 0)</f>
        <v>0</v>
      </c>
      <c r="J16" s="59">
        <f>IFERROR(SUMIFS(INDEX('Soruce file '!$A:$Z, 0, MATCH("CD", 'Soruce file '!$1:$1, 0)), INDEX('Soruce file '!$A:$Z, 0, MATCH("Date", 'Soruce file '!$1:$1, 0)), "&gt;="&amp;$B$1, INDEX('Soruce file '!$A:$Z, 0, MATCH("Date", 'Soruce file '!$1:$1, 0)), "&lt;="&amp;EOMONTH($B$1,0), INDEX('Soruce file '!$A:$Z, 0, MATCH("GA*", 'Soruce file '!$1:$1, 0)), $A16), 0)</f>
        <v>0</v>
      </c>
      <c r="K16" s="59">
        <f>IFERROR(SUMIFS(INDEX('Soruce file '!$A:$Z, 0, MATCH("Night Driving", 'Soruce file '!$1:$1, 0)), INDEX('Soruce file '!$A:$Z, 0, MATCH("Date", 'Soruce file '!$1:$1, 0)), "&gt;="&amp;$B$1, INDEX('Soruce file '!$A:$Z, 0, MATCH("Date", 'Soruce file '!$1:$1, 0)), "&lt;="&amp;EOMONTH($B$1,0), INDEX('Soruce file '!$A:$Z, 0, MATCH("GA*", 'Soruce file '!$1:$1, 0)), $A16), 0)</f>
        <v>0</v>
      </c>
      <c r="L16" s="17">
        <f t="shared" si="0"/>
        <v>18</v>
      </c>
      <c r="N16" s="2"/>
    </row>
    <row r="17" spans="1:14">
      <c r="A17" s="8" t="s">
        <v>29</v>
      </c>
      <c r="B17" s="78">
        <f>IFERROR(SUMIFS(INDEX('Soruce file '!$A:$Z, 0, MATCH("Mobile Usage", 'Soruce file '!$1:$1, 0)), INDEX('Soruce file '!$A:$Z, 0, MATCH("Date", 'Soruce file '!$1:$1, 0)), "&gt;="&amp;$B$1, INDEX('Soruce file '!$A:$Z, 0, MATCH("Date", 'Soruce file '!$1:$1, 0)), "&lt;="&amp;EOMONTH($B$1,0), INDEX('Soruce file '!$A:$Z, 0, MATCH("GA*", 'Soruce file '!$1:$1, 0)), $A17), 0)</f>
        <v>0</v>
      </c>
      <c r="C17" s="59">
        <f>IFERROR(SUMIFS(INDEX('Soruce file '!$A:$Z, 0, MATCH("No Seatbelt", 'Soruce file '!$1:$1, 0)), INDEX('Soruce file '!$A:$Z, 0, MATCH("Date", 'Soruce file '!$1:$1, 0)), "&gt;="&amp;$B$1, INDEX('Soruce file '!$A:$Z, 0, MATCH("Date", 'Soruce file '!$1:$1, 0)), "&lt;="&amp;EOMONTH($B$1,0), INDEX('Soruce file '!$A:$Z, 0, MATCH("GA*", 'Soruce file '!$1:$1, 0)), $A17), 0)</f>
        <v>1</v>
      </c>
      <c r="D17" s="59">
        <f>IFERROR(SUMIFS(INDEX('Soruce file '!$A:$Z, 0, MATCH("Yawning", 'Soruce file '!$1:$1, 0)), INDEX('Soruce file '!$A:$Z, 0, MATCH("Date", 'Soruce file '!$1:$1, 0)), "&gt;="&amp;$B$1, INDEX('Soruce file '!$A:$Z, 0, MATCH("Date", 'Soruce file '!$1:$1, 0)), "&lt;="&amp;EOMONTH($B$1,0), INDEX('Soruce file '!$A:$Z, 0, MATCH("GA*", 'Soruce file '!$1:$1, 0)), $A17), 0)</f>
        <v>0</v>
      </c>
      <c r="E17" s="78">
        <f>IFERROR(SUMIFS(INDEX('Soruce file '!$A:$Z, 0, MATCH("Fatigue", 'Soruce file '!$1:$1, 0)), INDEX('Soruce file '!$A:$Z, 0, MATCH("Date", 'Soruce file '!$1:$1, 0)), "&gt;="&amp;$B$1, INDEX('Soruce file '!$A:$Z, 0, MATCH("Date", 'Soruce file '!$1:$1, 0)), "&lt;="&amp;EOMONTH($B$1,0), INDEX('Soruce file '!$A:$Z, 0, MATCH("GA*", 'Soruce file '!$1:$1, 0)), $A17), 0)</f>
        <v>1</v>
      </c>
      <c r="F17" s="59">
        <f>IFERROR(SUMIFS(INDEX('Soruce file '!$A:$Z, 0, MATCH("Harsh Braking", 'Soruce file '!$1:$1, 0)), INDEX('Soruce file '!$A:$Z, 0, MATCH("Date", 'Soruce file '!$1:$1, 0)), "&gt;="&amp;$B$1, INDEX('Soruce file '!$A:$Z, 0, MATCH("Date", 'Soruce file '!$1:$1, 0)), "&lt;="&amp;EOMONTH($B$1,0), INDEX('Soruce file '!$A:$Z, 0, MATCH("GA*", 'Soruce file '!$1:$1, 0)), $A17), 0)</f>
        <v>0</v>
      </c>
      <c r="G17" s="78">
        <f>IFERROR(SUMIFS(INDEX('Soruce file '!$A:$Z, 0, MATCH("Overspeed", 'Soruce file '!$1:$1, 0)), INDEX('Soruce file '!$A:$Z, 0, MATCH("Date", 'Soruce file '!$1:$1, 0)), "&gt;="&amp;$B$1, INDEX('Soruce file '!$A:$Z, 0, MATCH("Date", 'Soruce file '!$1:$1, 0)), "&lt;="&amp;EOMONTH($B$1,0), INDEX('Soruce file '!$A:$Z, 0, MATCH("GA*", 'Soruce file '!$1:$1, 0)), $A17), 0)</f>
        <v>0</v>
      </c>
      <c r="H17" s="59">
        <f>IFERROR(SUMIFS(INDEX('Soruce file '!$A:$Z, 0, MATCH("Sudden Acceleration", 'Soruce file '!$1:$1, 0)), INDEX('Soruce file '!$A:$Z, 0, MATCH("Date", 'Soruce file '!$1:$1, 0)), "&gt;="&amp;$B$1, INDEX('Soruce file '!$A:$Z, 0, MATCH("Date", 'Soruce file '!$1:$1, 0)), "&lt;="&amp;EOMONTH($B$1,0), INDEX('Soruce file '!$A:$Z, 0, MATCH("GA*", 'Soruce file '!$1:$1, 0)), $A17), 0)</f>
        <v>0</v>
      </c>
      <c r="I17" s="59">
        <f>IFERROR(SUMIFS(INDEX('Soruce file '!$A:$Z, 0, MATCH("Camera Anomaly", 'Soruce file '!$1:$1, 0)), INDEX('Soruce file '!$A:$Z, 0, MATCH("Date", 'Soruce file '!$1:$1, 0)), "&gt;="&amp;$B$1, INDEX('Soruce file '!$A:$Z, 0, MATCH("Date", 'Soruce file '!$1:$1, 0)), "&lt;="&amp;EOMONTH($B$1,0), INDEX('Soruce file '!$A:$Z, 0, MATCH("GA*", 'Soruce file '!$1:$1, 0)), $A17), 0)</f>
        <v>0</v>
      </c>
      <c r="J17" s="59">
        <f>IFERROR(SUMIFS(INDEX('Soruce file '!$A:$Z, 0, MATCH("CD", 'Soruce file '!$1:$1, 0)), INDEX('Soruce file '!$A:$Z, 0, MATCH("Date", 'Soruce file '!$1:$1, 0)), "&gt;="&amp;$B$1, INDEX('Soruce file '!$A:$Z, 0, MATCH("Date", 'Soruce file '!$1:$1, 0)), "&lt;="&amp;EOMONTH($B$1,0), INDEX('Soruce file '!$A:$Z, 0, MATCH("GA*", 'Soruce file '!$1:$1, 0)), $A17), 0)</f>
        <v>0</v>
      </c>
      <c r="K17" s="59">
        <f>IFERROR(SUMIFS(INDEX('Soruce file '!$A:$Z, 0, MATCH("Night Driving", 'Soruce file '!$1:$1, 0)), INDEX('Soruce file '!$A:$Z, 0, MATCH("Date", 'Soruce file '!$1:$1, 0)), "&gt;="&amp;$B$1, INDEX('Soruce file '!$A:$Z, 0, MATCH("Date", 'Soruce file '!$1:$1, 0)), "&lt;="&amp;EOMONTH($B$1,0), INDEX('Soruce file '!$A:$Z, 0, MATCH("GA*", 'Soruce file '!$1:$1, 0)), $A17), 0)</f>
        <v>0</v>
      </c>
      <c r="L17" s="17">
        <f t="shared" si="0"/>
        <v>2</v>
      </c>
      <c r="N17" s="2"/>
    </row>
    <row r="18" spans="1:14">
      <c r="A18" s="8" t="s">
        <v>7</v>
      </c>
      <c r="B18" s="78">
        <f>IFERROR(SUMIFS(INDEX('Soruce file '!$A:$Z, 0, MATCH("Mobile Usage", 'Soruce file '!$1:$1, 0)), INDEX('Soruce file '!$A:$Z, 0, MATCH("Date", 'Soruce file '!$1:$1, 0)), "&gt;="&amp;$B$1, INDEX('Soruce file '!$A:$Z, 0, MATCH("Date", 'Soruce file '!$1:$1, 0)), "&lt;="&amp;EOMONTH($B$1,0), INDEX('Soruce file '!$A:$Z, 0, MATCH("GA*", 'Soruce file '!$1:$1, 0)), $A18), 0)</f>
        <v>3</v>
      </c>
      <c r="C18" s="59">
        <f>IFERROR(SUMIFS(INDEX('Soruce file '!$A:$Z, 0, MATCH("No Seatbelt", 'Soruce file '!$1:$1, 0)), INDEX('Soruce file '!$A:$Z, 0, MATCH("Date", 'Soruce file '!$1:$1, 0)), "&gt;="&amp;$B$1, INDEX('Soruce file '!$A:$Z, 0, MATCH("Date", 'Soruce file '!$1:$1, 0)), "&lt;="&amp;EOMONTH($B$1,0), INDEX('Soruce file '!$A:$Z, 0, MATCH("GA*", 'Soruce file '!$1:$1, 0)), $A18), 0)</f>
        <v>5</v>
      </c>
      <c r="D18" s="59">
        <f>IFERROR(SUMIFS(INDEX('Soruce file '!$A:$Z, 0, MATCH("Yawning", 'Soruce file '!$1:$1, 0)), INDEX('Soruce file '!$A:$Z, 0, MATCH("Date", 'Soruce file '!$1:$1, 0)), "&gt;="&amp;$B$1, INDEX('Soruce file '!$A:$Z, 0, MATCH("Date", 'Soruce file '!$1:$1, 0)), "&lt;="&amp;EOMONTH($B$1,0), INDEX('Soruce file '!$A:$Z, 0, MATCH("GA*", 'Soruce file '!$1:$1, 0)), $A18), 0)</f>
        <v>0</v>
      </c>
      <c r="E18" s="78">
        <f>IFERROR(SUMIFS(INDEX('Soruce file '!$A:$Z, 0, MATCH("Fatigue", 'Soruce file '!$1:$1, 0)), INDEX('Soruce file '!$A:$Z, 0, MATCH("Date", 'Soruce file '!$1:$1, 0)), "&gt;="&amp;$B$1, INDEX('Soruce file '!$A:$Z, 0, MATCH("Date", 'Soruce file '!$1:$1, 0)), "&lt;="&amp;EOMONTH($B$1,0), INDEX('Soruce file '!$A:$Z, 0, MATCH("GA*", 'Soruce file '!$1:$1, 0)), $A18), 0)</f>
        <v>1</v>
      </c>
      <c r="F18" s="59">
        <f>IFERROR(SUMIFS(INDEX('Soruce file '!$A:$Z, 0, MATCH("Harsh Braking", 'Soruce file '!$1:$1, 0)), INDEX('Soruce file '!$A:$Z, 0, MATCH("Date", 'Soruce file '!$1:$1, 0)), "&gt;="&amp;$B$1, INDEX('Soruce file '!$A:$Z, 0, MATCH("Date", 'Soruce file '!$1:$1, 0)), "&lt;="&amp;EOMONTH($B$1,0), INDEX('Soruce file '!$A:$Z, 0, MATCH("GA*", 'Soruce file '!$1:$1, 0)), $A18), 0)</f>
        <v>0</v>
      </c>
      <c r="G18" s="78">
        <f>IFERROR(SUMIFS(INDEX('Soruce file '!$A:$Z, 0, MATCH("Overspeed", 'Soruce file '!$1:$1, 0)), INDEX('Soruce file '!$A:$Z, 0, MATCH("Date", 'Soruce file '!$1:$1, 0)), "&gt;="&amp;$B$1, INDEX('Soruce file '!$A:$Z, 0, MATCH("Date", 'Soruce file '!$1:$1, 0)), "&lt;="&amp;EOMONTH($B$1,0), INDEX('Soruce file '!$A:$Z, 0, MATCH("GA*", 'Soruce file '!$1:$1, 0)), $A18), 0)</f>
        <v>6</v>
      </c>
      <c r="H18" s="59">
        <f>IFERROR(SUMIFS(INDEX('Soruce file '!$A:$Z, 0, MATCH("Sudden Acceleration", 'Soruce file '!$1:$1, 0)), INDEX('Soruce file '!$A:$Z, 0, MATCH("Date", 'Soruce file '!$1:$1, 0)), "&gt;="&amp;$B$1, INDEX('Soruce file '!$A:$Z, 0, MATCH("Date", 'Soruce file '!$1:$1, 0)), "&lt;="&amp;EOMONTH($B$1,0), INDEX('Soruce file '!$A:$Z, 0, MATCH("GA*", 'Soruce file '!$1:$1, 0)), $A18), 0)</f>
        <v>0</v>
      </c>
      <c r="I18" s="59">
        <f>IFERROR(SUMIFS(INDEX('Soruce file '!$A:$Z, 0, MATCH("Camera Anomaly", 'Soruce file '!$1:$1, 0)), INDEX('Soruce file '!$A:$Z, 0, MATCH("Date", 'Soruce file '!$1:$1, 0)), "&gt;="&amp;$B$1, INDEX('Soruce file '!$A:$Z, 0, MATCH("Date", 'Soruce file '!$1:$1, 0)), "&lt;="&amp;EOMONTH($B$1,0), INDEX('Soruce file '!$A:$Z, 0, MATCH("GA*", 'Soruce file '!$1:$1, 0)), $A18), 0)</f>
        <v>2</v>
      </c>
      <c r="J18" s="59">
        <f>IFERROR(SUMIFS(INDEX('Soruce file '!$A:$Z, 0, MATCH("CD", 'Soruce file '!$1:$1, 0)), INDEX('Soruce file '!$A:$Z, 0, MATCH("Date", 'Soruce file '!$1:$1, 0)), "&gt;="&amp;$B$1, INDEX('Soruce file '!$A:$Z, 0, MATCH("Date", 'Soruce file '!$1:$1, 0)), "&lt;="&amp;EOMONTH($B$1,0), INDEX('Soruce file '!$A:$Z, 0, MATCH("GA*", 'Soruce file '!$1:$1, 0)), $A18), 0)</f>
        <v>0</v>
      </c>
      <c r="K18" s="59">
        <f>IFERROR(SUMIFS(INDEX('Soruce file '!$A:$Z, 0, MATCH("Night Driving", 'Soruce file '!$1:$1, 0)), INDEX('Soruce file '!$A:$Z, 0, MATCH("Date", 'Soruce file '!$1:$1, 0)), "&gt;="&amp;$B$1, INDEX('Soruce file '!$A:$Z, 0, MATCH("Date", 'Soruce file '!$1:$1, 0)), "&lt;="&amp;EOMONTH($B$1,0), INDEX('Soruce file '!$A:$Z, 0, MATCH("GA*", 'Soruce file '!$1:$1, 0)), $A18), 0)</f>
        <v>0</v>
      </c>
      <c r="L18" s="17">
        <f t="shared" si="0"/>
        <v>17</v>
      </c>
      <c r="N18" s="2"/>
    </row>
    <row r="19" spans="1:14">
      <c r="A19" s="8" t="s">
        <v>147</v>
      </c>
      <c r="B19" s="78">
        <f>IFERROR(SUMIFS(INDEX('Soruce file '!$A:$Z, 0, MATCH("Mobile Usage", 'Soruce file '!$1:$1, 0)), INDEX('Soruce file '!$A:$Z, 0, MATCH("Date", 'Soruce file '!$1:$1, 0)), "&gt;="&amp;$B$1, INDEX('Soruce file '!$A:$Z, 0, MATCH("Date", 'Soruce file '!$1:$1, 0)), "&lt;="&amp;EOMONTH($B$1,0), INDEX('Soruce file '!$A:$Z, 0, MATCH("GA*", 'Soruce file '!$1:$1, 0)), $A19), 0)</f>
        <v>4</v>
      </c>
      <c r="C19" s="59">
        <f>IFERROR(SUMIFS(INDEX('Soruce file '!$A:$Z, 0, MATCH("No Seatbelt", 'Soruce file '!$1:$1, 0)), INDEX('Soruce file '!$A:$Z, 0, MATCH("Date", 'Soruce file '!$1:$1, 0)), "&gt;="&amp;$B$1, INDEX('Soruce file '!$A:$Z, 0, MATCH("Date", 'Soruce file '!$1:$1, 0)), "&lt;="&amp;EOMONTH($B$1,0), INDEX('Soruce file '!$A:$Z, 0, MATCH("GA*", 'Soruce file '!$1:$1, 0)), $A19), 0)</f>
        <v>0</v>
      </c>
      <c r="D19" s="59">
        <f>IFERROR(SUMIFS(INDEX('Soruce file '!$A:$Z, 0, MATCH("Yawning", 'Soruce file '!$1:$1, 0)), INDEX('Soruce file '!$A:$Z, 0, MATCH("Date", 'Soruce file '!$1:$1, 0)), "&gt;="&amp;$B$1, INDEX('Soruce file '!$A:$Z, 0, MATCH("Date", 'Soruce file '!$1:$1, 0)), "&lt;="&amp;EOMONTH($B$1,0), INDEX('Soruce file '!$A:$Z, 0, MATCH("GA*", 'Soruce file '!$1:$1, 0)), $A19), 0)</f>
        <v>0</v>
      </c>
      <c r="E19" s="78">
        <f>IFERROR(SUMIFS(INDEX('Soruce file '!$A:$Z, 0, MATCH("Fatigue", 'Soruce file '!$1:$1, 0)), INDEX('Soruce file '!$A:$Z, 0, MATCH("Date", 'Soruce file '!$1:$1, 0)), "&gt;="&amp;$B$1, INDEX('Soruce file '!$A:$Z, 0, MATCH("Date", 'Soruce file '!$1:$1, 0)), "&lt;="&amp;EOMONTH($B$1,0), INDEX('Soruce file '!$A:$Z, 0, MATCH("GA*", 'Soruce file '!$1:$1, 0)), $A19), 0)</f>
        <v>0</v>
      </c>
      <c r="F19" s="59">
        <f>IFERROR(SUMIFS(INDEX('Soruce file '!$A:$Z, 0, MATCH("Harsh Braking", 'Soruce file '!$1:$1, 0)), INDEX('Soruce file '!$A:$Z, 0, MATCH("Date", 'Soruce file '!$1:$1, 0)), "&gt;="&amp;$B$1, INDEX('Soruce file '!$A:$Z, 0, MATCH("Date", 'Soruce file '!$1:$1, 0)), "&lt;="&amp;EOMONTH($B$1,0), INDEX('Soruce file '!$A:$Z, 0, MATCH("GA*", 'Soruce file '!$1:$1, 0)), $A19), 0)</f>
        <v>0</v>
      </c>
      <c r="G19" s="78">
        <f>IFERROR(SUMIFS(INDEX('Soruce file '!$A:$Z, 0, MATCH("Overspeed", 'Soruce file '!$1:$1, 0)), INDEX('Soruce file '!$A:$Z, 0, MATCH("Date", 'Soruce file '!$1:$1, 0)), "&gt;="&amp;$B$1, INDEX('Soruce file '!$A:$Z, 0, MATCH("Date", 'Soruce file '!$1:$1, 0)), "&lt;="&amp;EOMONTH($B$1,0), INDEX('Soruce file '!$A:$Z, 0, MATCH("GA*", 'Soruce file '!$1:$1, 0)), $A19), 0)</f>
        <v>1</v>
      </c>
      <c r="H19" s="59">
        <f>IFERROR(SUMIFS(INDEX('Soruce file '!$A:$Z, 0, MATCH("Sudden Acceleration", 'Soruce file '!$1:$1, 0)), INDEX('Soruce file '!$A:$Z, 0, MATCH("Date", 'Soruce file '!$1:$1, 0)), "&gt;="&amp;$B$1, INDEX('Soruce file '!$A:$Z, 0, MATCH("Date", 'Soruce file '!$1:$1, 0)), "&lt;="&amp;EOMONTH($B$1,0), INDEX('Soruce file '!$A:$Z, 0, MATCH("GA*", 'Soruce file '!$1:$1, 0)), $A19), 0)</f>
        <v>0</v>
      </c>
      <c r="I19" s="59">
        <f>IFERROR(SUMIFS(INDEX('Soruce file '!$A:$Z, 0, MATCH("Camera Anomaly", 'Soruce file '!$1:$1, 0)), INDEX('Soruce file '!$A:$Z, 0, MATCH("Date", 'Soruce file '!$1:$1, 0)), "&gt;="&amp;$B$1, INDEX('Soruce file '!$A:$Z, 0, MATCH("Date", 'Soruce file '!$1:$1, 0)), "&lt;="&amp;EOMONTH($B$1,0), INDEX('Soruce file '!$A:$Z, 0, MATCH("GA*", 'Soruce file '!$1:$1, 0)), $A19), 0)</f>
        <v>0</v>
      </c>
      <c r="J19" s="59">
        <f>IFERROR(SUMIFS(INDEX('Soruce file '!$A:$Z, 0, MATCH("CD", 'Soruce file '!$1:$1, 0)), INDEX('Soruce file '!$A:$Z, 0, MATCH("Date", 'Soruce file '!$1:$1, 0)), "&gt;="&amp;$B$1, INDEX('Soruce file '!$A:$Z, 0, MATCH("Date", 'Soruce file '!$1:$1, 0)), "&lt;="&amp;EOMONTH($B$1,0), INDEX('Soruce file '!$A:$Z, 0, MATCH("GA*", 'Soruce file '!$1:$1, 0)), $A19), 0)</f>
        <v>0</v>
      </c>
      <c r="K19" s="59">
        <f>IFERROR(SUMIFS(INDEX('Soruce file '!$A:$Z, 0, MATCH("Night Driving", 'Soruce file '!$1:$1, 0)), INDEX('Soruce file '!$A:$Z, 0, MATCH("Date", 'Soruce file '!$1:$1, 0)), "&gt;="&amp;$B$1, INDEX('Soruce file '!$A:$Z, 0, MATCH("Date", 'Soruce file '!$1:$1, 0)), "&lt;="&amp;EOMONTH($B$1,0), INDEX('Soruce file '!$A:$Z, 0, MATCH("GA*", 'Soruce file '!$1:$1, 0)), $A19), 0)</f>
        <v>0</v>
      </c>
      <c r="L19" s="17">
        <f t="shared" si="0"/>
        <v>5</v>
      </c>
      <c r="N19" s="2"/>
    </row>
    <row r="20" spans="1:14">
      <c r="A20" s="8" t="s">
        <v>88</v>
      </c>
      <c r="B20" s="78">
        <f>IFERROR(SUMIFS(INDEX('Soruce file '!$A:$Z, 0, MATCH("Mobile Usage", 'Soruce file '!$1:$1, 0)), INDEX('Soruce file '!$A:$Z, 0, MATCH("Date", 'Soruce file '!$1:$1, 0)), "&gt;="&amp;$B$1, INDEX('Soruce file '!$A:$Z, 0, MATCH("Date", 'Soruce file '!$1:$1, 0)), "&lt;="&amp;EOMONTH($B$1,0), INDEX('Soruce file '!$A:$Z, 0, MATCH("GA*", 'Soruce file '!$1:$1, 0)), $A20), 0)</f>
        <v>0</v>
      </c>
      <c r="C20" s="59">
        <f>IFERROR(SUMIFS(INDEX('Soruce file '!$A:$Z, 0, MATCH("No Seatbelt", 'Soruce file '!$1:$1, 0)), INDEX('Soruce file '!$A:$Z, 0, MATCH("Date", 'Soruce file '!$1:$1, 0)), "&gt;="&amp;$B$1, INDEX('Soruce file '!$A:$Z, 0, MATCH("Date", 'Soruce file '!$1:$1, 0)), "&lt;="&amp;EOMONTH($B$1,0), INDEX('Soruce file '!$A:$Z, 0, MATCH("GA*", 'Soruce file '!$1:$1, 0)), $A20), 0)</f>
        <v>1</v>
      </c>
      <c r="D20" s="59">
        <f>IFERROR(SUMIFS(INDEX('Soruce file '!$A:$Z, 0, MATCH("Yawning", 'Soruce file '!$1:$1, 0)), INDEX('Soruce file '!$A:$Z, 0, MATCH("Date", 'Soruce file '!$1:$1, 0)), "&gt;="&amp;$B$1, INDEX('Soruce file '!$A:$Z, 0, MATCH("Date", 'Soruce file '!$1:$1, 0)), "&lt;="&amp;EOMONTH($B$1,0), INDEX('Soruce file '!$A:$Z, 0, MATCH("GA*", 'Soruce file '!$1:$1, 0)), $A20), 0)</f>
        <v>0</v>
      </c>
      <c r="E20" s="78">
        <f>IFERROR(SUMIFS(INDEX('Soruce file '!$A:$Z, 0, MATCH("Fatigue", 'Soruce file '!$1:$1, 0)), INDEX('Soruce file '!$A:$Z, 0, MATCH("Date", 'Soruce file '!$1:$1, 0)), "&gt;="&amp;$B$1, INDEX('Soruce file '!$A:$Z, 0, MATCH("Date", 'Soruce file '!$1:$1, 0)), "&lt;="&amp;EOMONTH($B$1,0), INDEX('Soruce file '!$A:$Z, 0, MATCH("GA*", 'Soruce file '!$1:$1, 0)), $A20), 0)</f>
        <v>0</v>
      </c>
      <c r="F20" s="59">
        <f>IFERROR(SUMIFS(INDEX('Soruce file '!$A:$Z, 0, MATCH("Harsh Braking", 'Soruce file '!$1:$1, 0)), INDEX('Soruce file '!$A:$Z, 0, MATCH("Date", 'Soruce file '!$1:$1, 0)), "&gt;="&amp;$B$1, INDEX('Soruce file '!$A:$Z, 0, MATCH("Date", 'Soruce file '!$1:$1, 0)), "&lt;="&amp;EOMONTH($B$1,0), INDEX('Soruce file '!$A:$Z, 0, MATCH("GA*", 'Soruce file '!$1:$1, 0)), $A20), 0)</f>
        <v>0</v>
      </c>
      <c r="G20" s="78">
        <f>IFERROR(SUMIFS(INDEX('Soruce file '!$A:$Z, 0, MATCH("Overspeed", 'Soruce file '!$1:$1, 0)), INDEX('Soruce file '!$A:$Z, 0, MATCH("Date", 'Soruce file '!$1:$1, 0)), "&gt;="&amp;$B$1, INDEX('Soruce file '!$A:$Z, 0, MATCH("Date", 'Soruce file '!$1:$1, 0)), "&lt;="&amp;EOMONTH($B$1,0), INDEX('Soruce file '!$A:$Z, 0, MATCH("GA*", 'Soruce file '!$1:$1, 0)), $A20), 0)</f>
        <v>1</v>
      </c>
      <c r="H20" s="59">
        <f>IFERROR(SUMIFS(INDEX('Soruce file '!$A:$Z, 0, MATCH("Sudden Acceleration", 'Soruce file '!$1:$1, 0)), INDEX('Soruce file '!$A:$Z, 0, MATCH("Date", 'Soruce file '!$1:$1, 0)), "&gt;="&amp;$B$1, INDEX('Soruce file '!$A:$Z, 0, MATCH("Date", 'Soruce file '!$1:$1, 0)), "&lt;="&amp;EOMONTH($B$1,0), INDEX('Soruce file '!$A:$Z, 0, MATCH("GA*", 'Soruce file '!$1:$1, 0)), $A20), 0)</f>
        <v>0</v>
      </c>
      <c r="I20" s="59">
        <f>IFERROR(SUMIFS(INDEX('Soruce file '!$A:$Z, 0, MATCH("Camera Anomaly", 'Soruce file '!$1:$1, 0)), INDEX('Soruce file '!$A:$Z, 0, MATCH("Date", 'Soruce file '!$1:$1, 0)), "&gt;="&amp;$B$1, INDEX('Soruce file '!$A:$Z, 0, MATCH("Date", 'Soruce file '!$1:$1, 0)), "&lt;="&amp;EOMONTH($B$1,0), INDEX('Soruce file '!$A:$Z, 0, MATCH("GA*", 'Soruce file '!$1:$1, 0)), $A20), 0)</f>
        <v>0</v>
      </c>
      <c r="J20" s="59">
        <f>IFERROR(SUMIFS(INDEX('Soruce file '!$A:$Z, 0, MATCH("CD", 'Soruce file '!$1:$1, 0)), INDEX('Soruce file '!$A:$Z, 0, MATCH("Date", 'Soruce file '!$1:$1, 0)), "&gt;="&amp;$B$1, INDEX('Soruce file '!$A:$Z, 0, MATCH("Date", 'Soruce file '!$1:$1, 0)), "&lt;="&amp;EOMONTH($B$1,0), INDEX('Soruce file '!$A:$Z, 0, MATCH("GA*", 'Soruce file '!$1:$1, 0)), $A20), 0)</f>
        <v>0</v>
      </c>
      <c r="K20" s="59">
        <f>IFERROR(SUMIFS(INDEX('Soruce file '!$A:$Z, 0, MATCH("Night Driving", 'Soruce file '!$1:$1, 0)), INDEX('Soruce file '!$A:$Z, 0, MATCH("Date", 'Soruce file '!$1:$1, 0)), "&gt;="&amp;$B$1, INDEX('Soruce file '!$A:$Z, 0, MATCH("Date", 'Soruce file '!$1:$1, 0)), "&lt;="&amp;EOMONTH($B$1,0), INDEX('Soruce file '!$A:$Z, 0, MATCH("GA*", 'Soruce file '!$1:$1, 0)), $A20), 0)</f>
        <v>0</v>
      </c>
      <c r="L20" s="17">
        <f t="shared" si="0"/>
        <v>2</v>
      </c>
      <c r="N20" s="2"/>
    </row>
    <row r="21" spans="1:14">
      <c r="A21" s="8" t="s">
        <v>97</v>
      </c>
      <c r="B21" s="78">
        <f>IFERROR(SUMIFS(INDEX('Soruce file '!$A:$Z, 0, MATCH("Mobile Usage", 'Soruce file '!$1:$1, 0)), INDEX('Soruce file '!$A:$Z, 0, MATCH("Date", 'Soruce file '!$1:$1, 0)), "&gt;="&amp;$B$1, INDEX('Soruce file '!$A:$Z, 0, MATCH("Date", 'Soruce file '!$1:$1, 0)), "&lt;="&amp;EOMONTH($B$1,0), INDEX('Soruce file '!$A:$Z, 0, MATCH("GA*", 'Soruce file '!$1:$1, 0)), $A21), 0)</f>
        <v>0</v>
      </c>
      <c r="C21" s="59">
        <f>IFERROR(SUMIFS(INDEX('Soruce file '!$A:$Z, 0, MATCH("No Seatbelt", 'Soruce file '!$1:$1, 0)), INDEX('Soruce file '!$A:$Z, 0, MATCH("Date", 'Soruce file '!$1:$1, 0)), "&gt;="&amp;$B$1, INDEX('Soruce file '!$A:$Z, 0, MATCH("Date", 'Soruce file '!$1:$1, 0)), "&lt;="&amp;EOMONTH($B$1,0), INDEX('Soruce file '!$A:$Z, 0, MATCH("GA*", 'Soruce file '!$1:$1, 0)), $A21), 0)</f>
        <v>0</v>
      </c>
      <c r="D21" s="59">
        <f>IFERROR(SUMIFS(INDEX('Soruce file '!$A:$Z, 0, MATCH("Yawning", 'Soruce file '!$1:$1, 0)), INDEX('Soruce file '!$A:$Z, 0, MATCH("Date", 'Soruce file '!$1:$1, 0)), "&gt;="&amp;$B$1, INDEX('Soruce file '!$A:$Z, 0, MATCH("Date", 'Soruce file '!$1:$1, 0)), "&lt;="&amp;EOMONTH($B$1,0), INDEX('Soruce file '!$A:$Z, 0, MATCH("GA*", 'Soruce file '!$1:$1, 0)), $A21), 0)</f>
        <v>0</v>
      </c>
      <c r="E21" s="78">
        <f>IFERROR(SUMIFS(INDEX('Soruce file '!$A:$Z, 0, MATCH("Fatigue", 'Soruce file '!$1:$1, 0)), INDEX('Soruce file '!$A:$Z, 0, MATCH("Date", 'Soruce file '!$1:$1, 0)), "&gt;="&amp;$B$1, INDEX('Soruce file '!$A:$Z, 0, MATCH("Date", 'Soruce file '!$1:$1, 0)), "&lt;="&amp;EOMONTH($B$1,0), INDEX('Soruce file '!$A:$Z, 0, MATCH("GA*", 'Soruce file '!$1:$1, 0)), $A21), 0)</f>
        <v>0</v>
      </c>
      <c r="F21" s="59">
        <f>IFERROR(SUMIFS(INDEX('Soruce file '!$A:$Z, 0, MATCH("Harsh Braking", 'Soruce file '!$1:$1, 0)), INDEX('Soruce file '!$A:$Z, 0, MATCH("Date", 'Soruce file '!$1:$1, 0)), "&gt;="&amp;$B$1, INDEX('Soruce file '!$A:$Z, 0, MATCH("Date", 'Soruce file '!$1:$1, 0)), "&lt;="&amp;EOMONTH($B$1,0), INDEX('Soruce file '!$A:$Z, 0, MATCH("GA*", 'Soruce file '!$1:$1, 0)), $A21), 0)</f>
        <v>0</v>
      </c>
      <c r="G21" s="78">
        <f>IFERROR(SUMIFS(INDEX('Soruce file '!$A:$Z, 0, MATCH("Overspeed", 'Soruce file '!$1:$1, 0)), INDEX('Soruce file '!$A:$Z, 0, MATCH("Date", 'Soruce file '!$1:$1, 0)), "&gt;="&amp;$B$1, INDEX('Soruce file '!$A:$Z, 0, MATCH("Date", 'Soruce file '!$1:$1, 0)), "&lt;="&amp;EOMONTH($B$1,0), INDEX('Soruce file '!$A:$Z, 0, MATCH("GA*", 'Soruce file '!$1:$1, 0)), $A21), 0)</f>
        <v>0</v>
      </c>
      <c r="H21" s="59">
        <f>IFERROR(SUMIFS(INDEX('Soruce file '!$A:$Z, 0, MATCH("Sudden Acceleration", 'Soruce file '!$1:$1, 0)), INDEX('Soruce file '!$A:$Z, 0, MATCH("Date", 'Soruce file '!$1:$1, 0)), "&gt;="&amp;$B$1, INDEX('Soruce file '!$A:$Z, 0, MATCH("Date", 'Soruce file '!$1:$1, 0)), "&lt;="&amp;EOMONTH($B$1,0), INDEX('Soruce file '!$A:$Z, 0, MATCH("GA*", 'Soruce file '!$1:$1, 0)), $A21), 0)</f>
        <v>0</v>
      </c>
      <c r="I21" s="59">
        <f>IFERROR(SUMIFS(INDEX('Soruce file '!$A:$Z, 0, MATCH("Camera Anomaly", 'Soruce file '!$1:$1, 0)), INDEX('Soruce file '!$A:$Z, 0, MATCH("Date", 'Soruce file '!$1:$1, 0)), "&gt;="&amp;$B$1, INDEX('Soruce file '!$A:$Z, 0, MATCH("Date", 'Soruce file '!$1:$1, 0)), "&lt;="&amp;EOMONTH($B$1,0), INDEX('Soruce file '!$A:$Z, 0, MATCH("GA*", 'Soruce file '!$1:$1, 0)), $A21), 0)</f>
        <v>1</v>
      </c>
      <c r="J21" s="59">
        <f>IFERROR(SUMIFS(INDEX('Soruce file '!$A:$Z, 0, MATCH("CD", 'Soruce file '!$1:$1, 0)), INDEX('Soruce file '!$A:$Z, 0, MATCH("Date", 'Soruce file '!$1:$1, 0)), "&gt;="&amp;$B$1, INDEX('Soruce file '!$A:$Z, 0, MATCH("Date", 'Soruce file '!$1:$1, 0)), "&lt;="&amp;EOMONTH($B$1,0), INDEX('Soruce file '!$A:$Z, 0, MATCH("GA*", 'Soruce file '!$1:$1, 0)), $A21), 0)</f>
        <v>0</v>
      </c>
      <c r="K21" s="59">
        <f>IFERROR(SUMIFS(INDEX('Soruce file '!$A:$Z, 0, MATCH("Night Driving", 'Soruce file '!$1:$1, 0)), INDEX('Soruce file '!$A:$Z, 0, MATCH("Date", 'Soruce file '!$1:$1, 0)), "&gt;="&amp;$B$1, INDEX('Soruce file '!$A:$Z, 0, MATCH("Date", 'Soruce file '!$1:$1, 0)), "&lt;="&amp;EOMONTH($B$1,0), INDEX('Soruce file '!$A:$Z, 0, MATCH("GA*", 'Soruce file '!$1:$1, 0)), $A21), 0)</f>
        <v>0</v>
      </c>
      <c r="L21" s="17">
        <f t="shared" si="0"/>
        <v>1</v>
      </c>
      <c r="N21" s="2"/>
    </row>
    <row r="22" spans="1:14">
      <c r="A22" s="8" t="s">
        <v>582</v>
      </c>
      <c r="B22" s="78">
        <f>IFERROR(SUMIFS(INDEX('Soruce file '!$A:$Z, 0, MATCH("Mobile Usage", 'Soruce file '!$1:$1, 0)), INDEX('Soruce file '!$A:$Z, 0, MATCH("Date", 'Soruce file '!$1:$1, 0)), "&gt;="&amp;$B$1, INDEX('Soruce file '!$A:$Z, 0, MATCH("Date", 'Soruce file '!$1:$1, 0)), "&lt;="&amp;EOMONTH($B$1,0), INDEX('Soruce file '!$A:$Z, 0, MATCH("GA*", 'Soruce file '!$1:$1, 0)), $A22), 0)</f>
        <v>0</v>
      </c>
      <c r="C22" s="59">
        <f>IFERROR(SUMIFS(INDEX('Soruce file '!$A:$Z, 0, MATCH("No Seatbelt", 'Soruce file '!$1:$1, 0)), INDEX('Soruce file '!$A:$Z, 0, MATCH("Date", 'Soruce file '!$1:$1, 0)), "&gt;="&amp;$B$1, INDEX('Soruce file '!$A:$Z, 0, MATCH("Date", 'Soruce file '!$1:$1, 0)), "&lt;="&amp;EOMONTH($B$1,0), INDEX('Soruce file '!$A:$Z, 0, MATCH("GA*", 'Soruce file '!$1:$1, 0)), $A22), 0)</f>
        <v>0</v>
      </c>
      <c r="D22" s="59">
        <f>IFERROR(SUMIFS(INDEX('Soruce file '!$A:$Z, 0, MATCH("Yawning", 'Soruce file '!$1:$1, 0)), INDEX('Soruce file '!$A:$Z, 0, MATCH("Date", 'Soruce file '!$1:$1, 0)), "&gt;="&amp;$B$1, INDEX('Soruce file '!$A:$Z, 0, MATCH("Date", 'Soruce file '!$1:$1, 0)), "&lt;="&amp;EOMONTH($B$1,0), INDEX('Soruce file '!$A:$Z, 0, MATCH("GA*", 'Soruce file '!$1:$1, 0)), $A22), 0)</f>
        <v>0</v>
      </c>
      <c r="E22" s="78">
        <f>IFERROR(SUMIFS(INDEX('Soruce file '!$A:$Z, 0, MATCH("Fatigue", 'Soruce file '!$1:$1, 0)), INDEX('Soruce file '!$A:$Z, 0, MATCH("Date", 'Soruce file '!$1:$1, 0)), "&gt;="&amp;$B$1, INDEX('Soruce file '!$A:$Z, 0, MATCH("Date", 'Soruce file '!$1:$1, 0)), "&lt;="&amp;EOMONTH($B$1,0), INDEX('Soruce file '!$A:$Z, 0, MATCH("GA*", 'Soruce file '!$1:$1, 0)), $A22), 0)</f>
        <v>0</v>
      </c>
      <c r="F22" s="59">
        <f>IFERROR(SUMIFS(INDEX('Soruce file '!$A:$Z, 0, MATCH("Harsh Braking", 'Soruce file '!$1:$1, 0)), INDEX('Soruce file '!$A:$Z, 0, MATCH("Date", 'Soruce file '!$1:$1, 0)), "&gt;="&amp;$B$1, INDEX('Soruce file '!$A:$Z, 0, MATCH("Date", 'Soruce file '!$1:$1, 0)), "&lt;="&amp;EOMONTH($B$1,0), INDEX('Soruce file '!$A:$Z, 0, MATCH("GA*", 'Soruce file '!$1:$1, 0)), $A22), 0)</f>
        <v>0</v>
      </c>
      <c r="G22" s="78">
        <f>IFERROR(SUMIFS(INDEX('Soruce file '!$A:$Z, 0, MATCH("Overspeed", 'Soruce file '!$1:$1, 0)), INDEX('Soruce file '!$A:$Z, 0, MATCH("Date", 'Soruce file '!$1:$1, 0)), "&gt;="&amp;$B$1, INDEX('Soruce file '!$A:$Z, 0, MATCH("Date", 'Soruce file '!$1:$1, 0)), "&lt;="&amp;EOMONTH($B$1,0), INDEX('Soruce file '!$A:$Z, 0, MATCH("GA*", 'Soruce file '!$1:$1, 0)), $A22), 0)</f>
        <v>0</v>
      </c>
      <c r="H22" s="59">
        <f>IFERROR(SUMIFS(INDEX('Soruce file '!$A:$Z, 0, MATCH("Sudden Acceleration", 'Soruce file '!$1:$1, 0)), INDEX('Soruce file '!$A:$Z, 0, MATCH("Date", 'Soruce file '!$1:$1, 0)), "&gt;="&amp;$B$1, INDEX('Soruce file '!$A:$Z, 0, MATCH("Date", 'Soruce file '!$1:$1, 0)), "&lt;="&amp;EOMONTH($B$1,0), INDEX('Soruce file '!$A:$Z, 0, MATCH("GA*", 'Soruce file '!$1:$1, 0)), $A22), 0)</f>
        <v>0</v>
      </c>
      <c r="I22" s="59">
        <f>IFERROR(SUMIFS(INDEX('Soruce file '!$A:$Z, 0, MATCH("Camera Anomaly", 'Soruce file '!$1:$1, 0)), INDEX('Soruce file '!$A:$Z, 0, MATCH("Date", 'Soruce file '!$1:$1, 0)), "&gt;="&amp;$B$1, INDEX('Soruce file '!$A:$Z, 0, MATCH("Date", 'Soruce file '!$1:$1, 0)), "&lt;="&amp;EOMONTH($B$1,0), INDEX('Soruce file '!$A:$Z, 0, MATCH("GA*", 'Soruce file '!$1:$1, 0)), $A22), 0)</f>
        <v>0</v>
      </c>
      <c r="J22" s="59">
        <f>IFERROR(SUMIFS(INDEX('Soruce file '!$A:$Z, 0, MATCH("CD", 'Soruce file '!$1:$1, 0)), INDEX('Soruce file '!$A:$Z, 0, MATCH("Date", 'Soruce file '!$1:$1, 0)), "&gt;="&amp;$B$1, INDEX('Soruce file '!$A:$Z, 0, MATCH("Date", 'Soruce file '!$1:$1, 0)), "&lt;="&amp;EOMONTH($B$1,0), INDEX('Soruce file '!$A:$Z, 0, MATCH("GA*", 'Soruce file '!$1:$1, 0)), $A22), 0)</f>
        <v>0</v>
      </c>
      <c r="K22" s="59">
        <f>IFERROR(SUMIFS(INDEX('Soruce file '!$A:$Z, 0, MATCH("Night Driving", 'Soruce file '!$1:$1, 0)), INDEX('Soruce file '!$A:$Z, 0, MATCH("Date", 'Soruce file '!$1:$1, 0)), "&gt;="&amp;$B$1, INDEX('Soruce file '!$A:$Z, 0, MATCH("Date", 'Soruce file '!$1:$1, 0)), "&lt;="&amp;EOMONTH($B$1,0), INDEX('Soruce file '!$A:$Z, 0, MATCH("GA*", 'Soruce file '!$1:$1, 0)), $A22), 0)</f>
        <v>0</v>
      </c>
      <c r="L22" s="17">
        <f t="shared" si="0"/>
        <v>0</v>
      </c>
      <c r="N22" s="2"/>
    </row>
    <row r="23" spans="1:14">
      <c r="A23" s="8" t="s">
        <v>32</v>
      </c>
      <c r="B23" s="78">
        <f>IFERROR(SUMIFS(INDEX('Soruce file '!$A:$Z, 0, MATCH("Mobile Usage", 'Soruce file '!$1:$1, 0)), INDEX('Soruce file '!$A:$Z, 0, MATCH("Date", 'Soruce file '!$1:$1, 0)), "&gt;="&amp;$B$1, INDEX('Soruce file '!$A:$Z, 0, MATCH("Date", 'Soruce file '!$1:$1, 0)), "&lt;="&amp;EOMONTH($B$1,0), INDEX('Soruce file '!$A:$Z, 0, MATCH("GA*", 'Soruce file '!$1:$1, 0)), $A23), 0)</f>
        <v>1</v>
      </c>
      <c r="C23" s="59">
        <f>IFERROR(SUMIFS(INDEX('Soruce file '!$A:$Z, 0, MATCH("No Seatbelt", 'Soruce file '!$1:$1, 0)), INDEX('Soruce file '!$A:$Z, 0, MATCH("Date", 'Soruce file '!$1:$1, 0)), "&gt;="&amp;$B$1, INDEX('Soruce file '!$A:$Z, 0, MATCH("Date", 'Soruce file '!$1:$1, 0)), "&lt;="&amp;EOMONTH($B$1,0), INDEX('Soruce file '!$A:$Z, 0, MATCH("GA*", 'Soruce file '!$1:$1, 0)), $A23), 0)</f>
        <v>0</v>
      </c>
      <c r="D23" s="59">
        <f>IFERROR(SUMIFS(INDEX('Soruce file '!$A:$Z, 0, MATCH("Yawning", 'Soruce file '!$1:$1, 0)), INDEX('Soruce file '!$A:$Z, 0, MATCH("Date", 'Soruce file '!$1:$1, 0)), "&gt;="&amp;$B$1, INDEX('Soruce file '!$A:$Z, 0, MATCH("Date", 'Soruce file '!$1:$1, 0)), "&lt;="&amp;EOMONTH($B$1,0), INDEX('Soruce file '!$A:$Z, 0, MATCH("GA*", 'Soruce file '!$1:$1, 0)), $A23), 0)</f>
        <v>0</v>
      </c>
      <c r="E23" s="78">
        <f>IFERROR(SUMIFS(INDEX('Soruce file '!$A:$Z, 0, MATCH("Fatigue", 'Soruce file '!$1:$1, 0)), INDEX('Soruce file '!$A:$Z, 0, MATCH("Date", 'Soruce file '!$1:$1, 0)), "&gt;="&amp;$B$1, INDEX('Soruce file '!$A:$Z, 0, MATCH("Date", 'Soruce file '!$1:$1, 0)), "&lt;="&amp;EOMONTH($B$1,0), INDEX('Soruce file '!$A:$Z, 0, MATCH("GA*", 'Soruce file '!$1:$1, 0)), $A23), 0)</f>
        <v>0</v>
      </c>
      <c r="F23" s="59">
        <f>IFERROR(SUMIFS(INDEX('Soruce file '!$A:$Z, 0, MATCH("Harsh Braking", 'Soruce file '!$1:$1, 0)), INDEX('Soruce file '!$A:$Z, 0, MATCH("Date", 'Soruce file '!$1:$1, 0)), "&gt;="&amp;$B$1, INDEX('Soruce file '!$A:$Z, 0, MATCH("Date", 'Soruce file '!$1:$1, 0)), "&lt;="&amp;EOMONTH($B$1,0), INDEX('Soruce file '!$A:$Z, 0, MATCH("GA*", 'Soruce file '!$1:$1, 0)), $A23), 0)</f>
        <v>0</v>
      </c>
      <c r="G23" s="78">
        <f>IFERROR(SUMIFS(INDEX('Soruce file '!$A:$Z, 0, MATCH("Overspeed", 'Soruce file '!$1:$1, 0)), INDEX('Soruce file '!$A:$Z, 0, MATCH("Date", 'Soruce file '!$1:$1, 0)), "&gt;="&amp;$B$1, INDEX('Soruce file '!$A:$Z, 0, MATCH("Date", 'Soruce file '!$1:$1, 0)), "&lt;="&amp;EOMONTH($B$1,0), INDEX('Soruce file '!$A:$Z, 0, MATCH("GA*", 'Soruce file '!$1:$1, 0)), $A23), 0)</f>
        <v>0</v>
      </c>
      <c r="H23" s="59">
        <f>IFERROR(SUMIFS(INDEX('Soruce file '!$A:$Z, 0, MATCH("Sudden Acceleration", 'Soruce file '!$1:$1, 0)), INDEX('Soruce file '!$A:$Z, 0, MATCH("Date", 'Soruce file '!$1:$1, 0)), "&gt;="&amp;$B$1, INDEX('Soruce file '!$A:$Z, 0, MATCH("Date", 'Soruce file '!$1:$1, 0)), "&lt;="&amp;EOMONTH($B$1,0), INDEX('Soruce file '!$A:$Z, 0, MATCH("GA*", 'Soruce file '!$1:$1, 0)), $A23), 0)</f>
        <v>0</v>
      </c>
      <c r="I23" s="59">
        <f>IFERROR(SUMIFS(INDEX('Soruce file '!$A:$Z, 0, MATCH("Camera Anomaly", 'Soruce file '!$1:$1, 0)), INDEX('Soruce file '!$A:$Z, 0, MATCH("Date", 'Soruce file '!$1:$1, 0)), "&gt;="&amp;$B$1, INDEX('Soruce file '!$A:$Z, 0, MATCH("Date", 'Soruce file '!$1:$1, 0)), "&lt;="&amp;EOMONTH($B$1,0), INDEX('Soruce file '!$A:$Z, 0, MATCH("GA*", 'Soruce file '!$1:$1, 0)), $A23), 0)</f>
        <v>0</v>
      </c>
      <c r="J23" s="59">
        <f>IFERROR(SUMIFS(INDEX('Soruce file '!$A:$Z, 0, MATCH("CD", 'Soruce file '!$1:$1, 0)), INDEX('Soruce file '!$A:$Z, 0, MATCH("Date", 'Soruce file '!$1:$1, 0)), "&gt;="&amp;$B$1, INDEX('Soruce file '!$A:$Z, 0, MATCH("Date", 'Soruce file '!$1:$1, 0)), "&lt;="&amp;EOMONTH($B$1,0), INDEX('Soruce file '!$A:$Z, 0, MATCH("GA*", 'Soruce file '!$1:$1, 0)), $A23), 0)</f>
        <v>0</v>
      </c>
      <c r="K23" s="59">
        <f>IFERROR(SUMIFS(INDEX('Soruce file '!$A:$Z, 0, MATCH("Night Driving", 'Soruce file '!$1:$1, 0)), INDEX('Soruce file '!$A:$Z, 0, MATCH("Date", 'Soruce file '!$1:$1, 0)), "&gt;="&amp;$B$1, INDEX('Soruce file '!$A:$Z, 0, MATCH("Date", 'Soruce file '!$1:$1, 0)), "&lt;="&amp;EOMONTH($B$1,0), INDEX('Soruce file '!$A:$Z, 0, MATCH("GA*", 'Soruce file '!$1:$1, 0)), $A23), 0)</f>
        <v>0</v>
      </c>
      <c r="L23" s="17">
        <f t="shared" si="0"/>
        <v>1</v>
      </c>
      <c r="N23" s="2"/>
    </row>
    <row r="24" spans="1:14">
      <c r="A24" s="8" t="s">
        <v>47</v>
      </c>
      <c r="B24" s="78">
        <f>IFERROR(SUMIFS(INDEX('Soruce file '!$A:$Z, 0, MATCH("Mobile Usage", 'Soruce file '!$1:$1, 0)), INDEX('Soruce file '!$A:$Z, 0, MATCH("Date", 'Soruce file '!$1:$1, 0)), "&gt;="&amp;$B$1, INDEX('Soruce file '!$A:$Z, 0, MATCH("Date", 'Soruce file '!$1:$1, 0)), "&lt;="&amp;EOMONTH($B$1,0), INDEX('Soruce file '!$A:$Z, 0, MATCH("GA*", 'Soruce file '!$1:$1, 0)), $A24), 0)</f>
        <v>0</v>
      </c>
      <c r="C24" s="59">
        <f>IFERROR(SUMIFS(INDEX('Soruce file '!$A:$Z, 0, MATCH("No Seatbelt", 'Soruce file '!$1:$1, 0)), INDEX('Soruce file '!$A:$Z, 0, MATCH("Date", 'Soruce file '!$1:$1, 0)), "&gt;="&amp;$B$1, INDEX('Soruce file '!$A:$Z, 0, MATCH("Date", 'Soruce file '!$1:$1, 0)), "&lt;="&amp;EOMONTH($B$1,0), INDEX('Soruce file '!$A:$Z, 0, MATCH("GA*", 'Soruce file '!$1:$1, 0)), $A24), 0)</f>
        <v>0</v>
      </c>
      <c r="D24" s="59">
        <f>IFERROR(SUMIFS(INDEX('Soruce file '!$A:$Z, 0, MATCH("Yawning", 'Soruce file '!$1:$1, 0)), INDEX('Soruce file '!$A:$Z, 0, MATCH("Date", 'Soruce file '!$1:$1, 0)), "&gt;="&amp;$B$1, INDEX('Soruce file '!$A:$Z, 0, MATCH("Date", 'Soruce file '!$1:$1, 0)), "&lt;="&amp;EOMONTH($B$1,0), INDEX('Soruce file '!$A:$Z, 0, MATCH("GA*", 'Soruce file '!$1:$1, 0)), $A24), 0)</f>
        <v>0</v>
      </c>
      <c r="E24" s="78">
        <f>IFERROR(SUMIFS(INDEX('Soruce file '!$A:$Z, 0, MATCH("Fatigue", 'Soruce file '!$1:$1, 0)), INDEX('Soruce file '!$A:$Z, 0, MATCH("Date", 'Soruce file '!$1:$1, 0)), "&gt;="&amp;$B$1, INDEX('Soruce file '!$A:$Z, 0, MATCH("Date", 'Soruce file '!$1:$1, 0)), "&lt;="&amp;EOMONTH($B$1,0), INDEX('Soruce file '!$A:$Z, 0, MATCH("GA*", 'Soruce file '!$1:$1, 0)), $A24), 0)</f>
        <v>3</v>
      </c>
      <c r="F24" s="59">
        <f>IFERROR(SUMIFS(INDEX('Soruce file '!$A:$Z, 0, MATCH("Harsh Braking", 'Soruce file '!$1:$1, 0)), INDEX('Soruce file '!$A:$Z, 0, MATCH("Date", 'Soruce file '!$1:$1, 0)), "&gt;="&amp;$B$1, INDEX('Soruce file '!$A:$Z, 0, MATCH("Date", 'Soruce file '!$1:$1, 0)), "&lt;="&amp;EOMONTH($B$1,0), INDEX('Soruce file '!$A:$Z, 0, MATCH("GA*", 'Soruce file '!$1:$1, 0)), $A24), 0)</f>
        <v>0</v>
      </c>
      <c r="G24" s="78">
        <f>IFERROR(SUMIFS(INDEX('Soruce file '!$A:$Z, 0, MATCH("Overspeed", 'Soruce file '!$1:$1, 0)), INDEX('Soruce file '!$A:$Z, 0, MATCH("Date", 'Soruce file '!$1:$1, 0)), "&gt;="&amp;$B$1, INDEX('Soruce file '!$A:$Z, 0, MATCH("Date", 'Soruce file '!$1:$1, 0)), "&lt;="&amp;EOMONTH($B$1,0), INDEX('Soruce file '!$A:$Z, 0, MATCH("GA*", 'Soruce file '!$1:$1, 0)), $A24), 0)</f>
        <v>0</v>
      </c>
      <c r="H24" s="59">
        <f>IFERROR(SUMIFS(INDEX('Soruce file '!$A:$Z, 0, MATCH("Sudden Acceleration", 'Soruce file '!$1:$1, 0)), INDEX('Soruce file '!$A:$Z, 0, MATCH("Date", 'Soruce file '!$1:$1, 0)), "&gt;="&amp;$B$1, INDEX('Soruce file '!$A:$Z, 0, MATCH("Date", 'Soruce file '!$1:$1, 0)), "&lt;="&amp;EOMONTH($B$1,0), INDEX('Soruce file '!$A:$Z, 0, MATCH("GA*", 'Soruce file '!$1:$1, 0)), $A24), 0)</f>
        <v>0</v>
      </c>
      <c r="I24" s="59">
        <f>IFERROR(SUMIFS(INDEX('Soruce file '!$A:$Z, 0, MATCH("Camera Anomaly", 'Soruce file '!$1:$1, 0)), INDEX('Soruce file '!$A:$Z, 0, MATCH("Date", 'Soruce file '!$1:$1, 0)), "&gt;="&amp;$B$1, INDEX('Soruce file '!$A:$Z, 0, MATCH("Date", 'Soruce file '!$1:$1, 0)), "&lt;="&amp;EOMONTH($B$1,0), INDEX('Soruce file '!$A:$Z, 0, MATCH("GA*", 'Soruce file '!$1:$1, 0)), $A24), 0)</f>
        <v>0</v>
      </c>
      <c r="J24" s="59">
        <f>IFERROR(SUMIFS(INDEX('Soruce file '!$A:$Z, 0, MATCH("CD", 'Soruce file '!$1:$1, 0)), INDEX('Soruce file '!$A:$Z, 0, MATCH("Date", 'Soruce file '!$1:$1, 0)), "&gt;="&amp;$B$1, INDEX('Soruce file '!$A:$Z, 0, MATCH("Date", 'Soruce file '!$1:$1, 0)), "&lt;="&amp;EOMONTH($B$1,0), INDEX('Soruce file '!$A:$Z, 0, MATCH("GA*", 'Soruce file '!$1:$1, 0)), $A24), 0)</f>
        <v>0</v>
      </c>
      <c r="K24" s="59">
        <f>IFERROR(SUMIFS(INDEX('Soruce file '!$A:$Z, 0, MATCH("Night Driving", 'Soruce file '!$1:$1, 0)), INDEX('Soruce file '!$A:$Z, 0, MATCH("Date", 'Soruce file '!$1:$1, 0)), "&gt;="&amp;$B$1, INDEX('Soruce file '!$A:$Z, 0, MATCH("Date", 'Soruce file '!$1:$1, 0)), "&lt;="&amp;EOMONTH($B$1,0), INDEX('Soruce file '!$A:$Z, 0, MATCH("GA*", 'Soruce file '!$1:$1, 0)), $A24), 0)</f>
        <v>0</v>
      </c>
      <c r="L24" s="17">
        <f t="shared" si="0"/>
        <v>3</v>
      </c>
      <c r="N24" s="2"/>
    </row>
    <row r="25" spans="1:14">
      <c r="A25" s="11" t="s">
        <v>559</v>
      </c>
      <c r="B25" s="59">
        <f t="shared" ref="B25:K25" si="1">SUM(B3:B24)</f>
        <v>75</v>
      </c>
      <c r="C25" s="59">
        <f t="shared" si="1"/>
        <v>24</v>
      </c>
      <c r="D25" s="59">
        <f t="shared" si="1"/>
        <v>4</v>
      </c>
      <c r="E25" s="59">
        <f t="shared" si="1"/>
        <v>19</v>
      </c>
      <c r="F25" s="59">
        <f t="shared" si="1"/>
        <v>0</v>
      </c>
      <c r="G25" s="59">
        <f t="shared" si="1"/>
        <v>22</v>
      </c>
      <c r="H25" s="59">
        <f t="shared" si="1"/>
        <v>0</v>
      </c>
      <c r="I25" s="59">
        <f t="shared" si="1"/>
        <v>15</v>
      </c>
      <c r="J25" s="59">
        <f t="shared" si="1"/>
        <v>0</v>
      </c>
      <c r="K25" s="59">
        <f t="shared" si="1"/>
        <v>0</v>
      </c>
      <c r="L25" s="17">
        <f t="shared" si="0"/>
        <v>159</v>
      </c>
      <c r="N25" s="2"/>
    </row>
    <row r="26" spans="1:14">
      <c r="N26" s="2"/>
    </row>
    <row r="27" spans="1:14">
      <c r="N27" s="2"/>
    </row>
    <row r="28" spans="1:14">
      <c r="N28" s="2"/>
    </row>
    <row r="29" spans="1:14">
      <c r="N29" s="2"/>
    </row>
    <row r="30" spans="1:14">
      <c r="A30" s="9" t="s">
        <v>567</v>
      </c>
      <c r="B30" s="10">
        <f>EOMONTH(MAX('Soruce file '!B:B), -1) + 1</f>
        <v>46082</v>
      </c>
    </row>
    <row r="31" spans="1:14">
      <c r="A31" s="7" t="s">
        <v>561</v>
      </c>
      <c r="B31" s="7" t="s">
        <v>16</v>
      </c>
      <c r="C31" s="7" t="s">
        <v>19</v>
      </c>
      <c r="D31" s="7" t="s">
        <v>11</v>
      </c>
      <c r="E31" s="7" t="s">
        <v>562</v>
      </c>
      <c r="F31" s="7" t="s">
        <v>563</v>
      </c>
      <c r="G31" s="7" t="s">
        <v>564</v>
      </c>
      <c r="H31" s="7" t="s">
        <v>565</v>
      </c>
      <c r="I31" s="7" t="s">
        <v>24</v>
      </c>
      <c r="J31" s="7" t="s">
        <v>566</v>
      </c>
      <c r="K31" s="7" t="s">
        <v>558</v>
      </c>
      <c r="L31" s="7" t="s">
        <v>559</v>
      </c>
    </row>
    <row r="32" spans="1:14">
      <c r="A32" s="8" t="s">
        <v>15</v>
      </c>
      <c r="B32" s="58">
        <f>IFERROR(SUMIFS(INDEX('Soruce file '!$A:$Z, 0, MATCH("Mobile Usage", 'Soruce file '!$1:$1, 0)), INDEX('Soruce file '!$A:$Z, 0, MATCH("Date", 'Soruce file '!$1:$1, 0)), "&gt;="&amp;$B$1, INDEX('Soruce file '!$A:$Z, 0, MATCH("Date", 'Soruce file '!$1:$1, 0)), "&lt;="&amp;EOMONTH($B$1,0), INDEX('Soruce file '!$A:$Z, 0, MATCH("GA*", 'Soruce file '!$1:$1, 0)), $A32), 0)</f>
        <v>17</v>
      </c>
      <c r="C32" s="17">
        <f>IFERROR(SUMIFS(INDEX('Soruce file '!$A:$Z, 0, MATCH("No Seatbelt", 'Soruce file '!$1:$1, 0)), INDEX('Soruce file '!$A:$Z, 0, MATCH("Date", 'Soruce file '!$1:$1, 0)), "&gt;="&amp;$B$1, INDEX('Soruce file '!$A:$Z, 0, MATCH("Date", 'Soruce file '!$1:$1, 0)), "&lt;="&amp;EOMONTH($B$1,0), INDEX('Soruce file '!$A:$Z, 0, MATCH("GA*", 'Soruce file '!$1:$1, 0)), $A32), 0)</f>
        <v>1</v>
      </c>
      <c r="D32" s="17">
        <f>IFERROR(SUMIFS(INDEX('Soruce file '!$A:$Z, 0, MATCH("Yawning", 'Soruce file '!$1:$1, 0)), INDEX('Soruce file '!$A:$Z, 0, MATCH("Date", 'Soruce file '!$1:$1, 0)), "&gt;="&amp;$B$1, INDEX('Soruce file '!$A:$Z, 0, MATCH("Date", 'Soruce file '!$1:$1, 0)), "&lt;="&amp;EOMONTH($B$1,0), INDEX('Soruce file '!$A:$Z, 0, MATCH("GA*", 'Soruce file '!$1:$1, 0)), $A32), 0)</f>
        <v>1</v>
      </c>
      <c r="E32" s="17">
        <f>IFERROR(SUMIFS(INDEX('Soruce file '!$A:$Z, 0, MATCH("Fatigue", 'Soruce file '!$1:$1, 0)), INDEX('Soruce file '!$A:$Z, 0, MATCH("Date", 'Soruce file '!$1:$1, 0)), $B$1, INDEX('Soruce file '!$A:$Z, 0, MATCH("GA*", 'Soruce file '!$1:$1, 0)), $A32), 0)</f>
        <v>0</v>
      </c>
      <c r="F32" s="17">
        <f>IFERROR(SUMIFS(INDEX('Soruce file '!$A:$Z, 0, MATCH("Harsh Braking", 'Soruce file '!$1:$1, 0)), INDEX('Soruce file '!$A:$Z, 0, MATCH("Date", 'Soruce file '!$1:$1, 0)), "&gt;="&amp;$B$1, INDEX('Soruce file '!$A:$Z, 0, MATCH("Date", 'Soruce file '!$1:$1, 0)), "&lt;="&amp;EOMONTH($B$1,0), INDEX('Soruce file '!$A:$Z, 0, MATCH("GA*", 'Soruce file '!$1:$1, 0)), $A32), 0)</f>
        <v>0</v>
      </c>
      <c r="G32" s="17">
        <f>IFERROR(SUMIFS(INDEX('Soruce file '!$A:$Z, 0, MATCH("Overspeed", 'Soruce file '!$1:$1, 0)), INDEX('Soruce file '!$A:$Z, 0, MATCH("Date", 'Soruce file '!$1:$1, 0)), $B$1, INDEX('Soruce file '!$A:$Z, 0, MATCH("GA*", 'Soruce file '!$1:$1, 0)), $A32), 0)</f>
        <v>0</v>
      </c>
      <c r="H32" s="17">
        <f>IFERROR(SUMIFS(INDEX('Soruce file '!$A:$Z, 0, MATCH("Sudden Acceleration", 'Soruce file '!$1:$1, 0)), INDEX('Soruce file '!$A:$Z, 0, MATCH("Date", 'Soruce file '!$1:$1, 0)), "&gt;="&amp;$B$1, INDEX('Soruce file '!$A:$Z, 0, MATCH("Date", 'Soruce file '!$1:$1, 0)), "&lt;="&amp;EOMONTH($B$1,0), INDEX('Soruce file '!$A:$Z, 0, MATCH("GA*", 'Soruce file '!$1:$1, 0)), $A32), 0)</f>
        <v>0</v>
      </c>
      <c r="I32" s="17">
        <f>IFERROR(SUMIFS(INDEX('Soruce file '!$A:$Z, 0, MATCH("Camera Anomaly", 'Soruce file '!$1:$1, 0)), INDEX('Soruce file '!$A:$Z, 0, MATCH("Date", 'Soruce file '!$1:$1, 0)), "&gt;="&amp;$B$1, INDEX('Soruce file '!$A:$Z, 0, MATCH("Date", 'Soruce file '!$1:$1, 0)), "&lt;="&amp;EOMONTH($B$1,0), INDEX('Soruce file '!$A:$Z, 0, MATCH("GA*", 'Soruce file '!$1:$1, 0)), $A32), 0)</f>
        <v>2</v>
      </c>
      <c r="J32" s="17">
        <f>IFERROR(SUMIFS(INDEX('Soruce file '!$A:$Z, 0, MATCH("CD", 'Soruce file '!$1:$1, 0)), INDEX('Soruce file '!$A:$Z, 0, MATCH("Date", 'Soruce file '!$1:$1, 0)), "&gt;="&amp;$B$1, INDEX('Soruce file '!$A:$Z, 0, MATCH("Date", 'Soruce file '!$1:$1, 0)), "&lt;="&amp;EOMONTH($B$1,0), INDEX('Soruce file '!$A:$Z, 0, MATCH("GA*", 'Soruce file '!$1:$1, 0)), $A32), 0)</f>
        <v>0</v>
      </c>
      <c r="K32" s="17">
        <f>IFERROR(SUMIFS(INDEX('Soruce file '!$A:$Z, 0, MATCH("Night Driving", 'Soruce file '!$1:$1, 0)), INDEX('Soruce file '!$A:$Z, 0, MATCH("Date", 'Soruce file '!$1:$1, 0)), "&gt;="&amp;$B$1, INDEX('Soruce file '!$A:$Z, 0, MATCH("Date", 'Soruce file '!$1:$1, 0)), "&lt;="&amp;EOMONTH($B$1,0), INDEX('Soruce file '!$A:$Z, 0, MATCH("GA*", 'Soruce file '!$1:$1, 0)), $A32), 0)</f>
        <v>0</v>
      </c>
      <c r="L32" s="17">
        <f>SUM(B32:K32)</f>
        <v>21</v>
      </c>
    </row>
    <row r="33" spans="1:14">
      <c r="A33" s="8" t="s">
        <v>34</v>
      </c>
      <c r="B33" s="58">
        <f>IFERROR(SUMIFS(INDEX('Soruce file '!$A:$Z, 0, MATCH("Mobile Usage", 'Soruce file '!$1:$1, 0)), INDEX('Soruce file '!$A:$Z, 0, MATCH("Date", 'Soruce file '!$1:$1, 0)), "&gt;="&amp;$B$1, INDEX('Soruce file '!$A:$Z, 0, MATCH("Date", 'Soruce file '!$1:$1, 0)), "&lt;="&amp;EOMONTH($B$1,0), INDEX('Soruce file '!$A:$Z, 0, MATCH("GA*", 'Soruce file '!$1:$1, 0)), $A33), 0)</f>
        <v>1</v>
      </c>
      <c r="C33" s="17">
        <f>IFERROR(SUMIFS(INDEX('Soruce file '!$A:$Z, 0, MATCH("No Seatbelt", 'Soruce file '!$1:$1, 0)), INDEX('Soruce file '!$A:$Z, 0, MATCH("Date", 'Soruce file '!$1:$1, 0)), "&gt;="&amp;$B$1, INDEX('Soruce file '!$A:$Z, 0, MATCH("Date", 'Soruce file '!$1:$1, 0)), "&lt;="&amp;EOMONTH($B$1,0), INDEX('Soruce file '!$A:$Z, 0, MATCH("GA*", 'Soruce file '!$1:$1, 0)), $A33), 0)</f>
        <v>0</v>
      </c>
      <c r="D33" s="17">
        <f>IFERROR(SUMIFS(INDEX('Soruce file '!$A:$Z, 0, MATCH("Yawning", 'Soruce file '!$1:$1, 0)), INDEX('Soruce file '!$A:$Z, 0, MATCH("Date", 'Soruce file '!$1:$1, 0)), "&gt;="&amp;$B$1, INDEX('Soruce file '!$A:$Z, 0, MATCH("Date", 'Soruce file '!$1:$1, 0)), "&lt;="&amp;EOMONTH($B$1,0), INDEX('Soruce file '!$A:$Z, 0, MATCH("GA*", 'Soruce file '!$1:$1, 0)), $A33), 0)</f>
        <v>1</v>
      </c>
      <c r="E33" s="17">
        <f>IFERROR(SUMIFS(INDEX('Soruce file '!$A:$Z, 0, MATCH("Fatigue", 'Soruce file '!$1:$1, 0)), INDEX('Soruce file '!$A:$Z, 0, MATCH("Date", 'Soruce file '!$1:$1, 0)), $B$1, INDEX('Soruce file '!$A:$Z, 0, MATCH("GA*", 'Soruce file '!$1:$1, 0)), $A33), 0)</f>
        <v>0</v>
      </c>
      <c r="F33" s="17">
        <f>IFERROR(SUMIFS(INDEX('Soruce file '!$A:$Z, 0, MATCH("Harsh Braking", 'Soruce file '!$1:$1, 0)), INDEX('Soruce file '!$A:$Z, 0, MATCH("Date", 'Soruce file '!$1:$1, 0)), "&gt;="&amp;$B$1, INDEX('Soruce file '!$A:$Z, 0, MATCH("Date", 'Soruce file '!$1:$1, 0)), "&lt;="&amp;EOMONTH($B$1,0), INDEX('Soruce file '!$A:$Z, 0, MATCH("GA*", 'Soruce file '!$1:$1, 0)), $A33), 0)</f>
        <v>0</v>
      </c>
      <c r="G33" s="17">
        <f>IFERROR(SUMIFS(INDEX('Soruce file '!$A:$Z, 0, MATCH("Overspeed", 'Soruce file '!$1:$1, 0)), INDEX('Soruce file '!$A:$Z, 0, MATCH("Date", 'Soruce file '!$1:$1, 0)), $B$1, INDEX('Soruce file '!$A:$Z, 0, MATCH("GA*", 'Soruce file '!$1:$1, 0)), $A33), 0)</f>
        <v>0</v>
      </c>
      <c r="H33" s="17">
        <f>IFERROR(SUMIFS(INDEX('Soruce file '!$A:$Z, 0, MATCH("Sudden Acceleration", 'Soruce file '!$1:$1, 0)), INDEX('Soruce file '!$A:$Z, 0, MATCH("Date", 'Soruce file '!$1:$1, 0)), "&gt;="&amp;$B$1, INDEX('Soruce file '!$A:$Z, 0, MATCH("Date", 'Soruce file '!$1:$1, 0)), "&lt;="&amp;EOMONTH($B$1,0), INDEX('Soruce file '!$A:$Z, 0, MATCH("GA*", 'Soruce file '!$1:$1, 0)), $A33), 0)</f>
        <v>0</v>
      </c>
      <c r="I33" s="17">
        <f>IFERROR(SUMIFS(INDEX('Soruce file '!$A:$Z, 0, MATCH("Camera Anomaly", 'Soruce file '!$1:$1, 0)), INDEX('Soruce file '!$A:$Z, 0, MATCH("Date", 'Soruce file '!$1:$1, 0)), "&gt;="&amp;$B$1, INDEX('Soruce file '!$A:$Z, 0, MATCH("Date", 'Soruce file '!$1:$1, 0)), "&lt;="&amp;EOMONTH($B$1,0), INDEX('Soruce file '!$A:$Z, 0, MATCH("GA*", 'Soruce file '!$1:$1, 0)), $A33), 0)</f>
        <v>1</v>
      </c>
      <c r="J33" s="17">
        <f>IFERROR(SUMIFS(INDEX('Soruce file '!$A:$Z, 0, MATCH("CD", 'Soruce file '!$1:$1, 0)), INDEX('Soruce file '!$A:$Z, 0, MATCH("Date", 'Soruce file '!$1:$1, 0)), "&gt;="&amp;$B$1, INDEX('Soruce file '!$A:$Z, 0, MATCH("Date", 'Soruce file '!$1:$1, 0)), "&lt;="&amp;EOMONTH($B$1,0), INDEX('Soruce file '!$A:$Z, 0, MATCH("GA*", 'Soruce file '!$1:$1, 0)), $A33), 0)</f>
        <v>0</v>
      </c>
      <c r="K33" s="17">
        <f>IFERROR(SUMIFS(INDEX('Soruce file '!$A:$Z, 0, MATCH("Night Driving", 'Soruce file '!$1:$1, 0)), INDEX('Soruce file '!$A:$Z, 0, MATCH("Date", 'Soruce file '!$1:$1, 0)), "&gt;="&amp;$B$1, INDEX('Soruce file '!$A:$Z, 0, MATCH("Date", 'Soruce file '!$1:$1, 0)), "&lt;="&amp;EOMONTH($B$1,0), INDEX('Soruce file '!$A:$Z, 0, MATCH("GA*", 'Soruce file '!$1:$1, 0)), $A33), 0)</f>
        <v>0</v>
      </c>
      <c r="L33" s="17">
        <f t="shared" ref="L33:L49" si="2">SUM(B33:K33)</f>
        <v>3</v>
      </c>
    </row>
    <row r="34" spans="1:14">
      <c r="A34" s="8" t="s">
        <v>459</v>
      </c>
      <c r="B34" s="58">
        <f>IFERROR(SUMIFS(INDEX('Soruce file '!$A:$Z, 0, MATCH("Mobile Usage", 'Soruce file '!$1:$1, 0)), INDEX('Soruce file '!$A:$Z, 0, MATCH("Date", 'Soruce file '!$1:$1, 0)), "&gt;="&amp;$B$1, INDEX('Soruce file '!$A:$Z, 0, MATCH("Date", 'Soruce file '!$1:$1, 0)), "&lt;="&amp;EOMONTH($B$1,0), INDEX('Soruce file '!$A:$Z, 0, MATCH("GA*", 'Soruce file '!$1:$1, 0)), $A34), 0)</f>
        <v>3</v>
      </c>
      <c r="C34" s="17">
        <f>IFERROR(SUMIFS(INDEX('Soruce file '!$A:$Z, 0, MATCH("No Seatbelt", 'Soruce file '!$1:$1, 0)), INDEX('Soruce file '!$A:$Z, 0, MATCH("Date", 'Soruce file '!$1:$1, 0)), "&gt;="&amp;$B$1, INDEX('Soruce file '!$A:$Z, 0, MATCH("Date", 'Soruce file '!$1:$1, 0)), "&lt;="&amp;EOMONTH($B$1,0), INDEX('Soruce file '!$A:$Z, 0, MATCH("GA*", 'Soruce file '!$1:$1, 0)), $A34), 0)</f>
        <v>1</v>
      </c>
      <c r="D34" s="17">
        <f>IFERROR(SUMIFS(INDEX('Soruce file '!$A:$Z, 0, MATCH("Yawning", 'Soruce file '!$1:$1, 0)), INDEX('Soruce file '!$A:$Z, 0, MATCH("Date", 'Soruce file '!$1:$1, 0)), "&gt;="&amp;$B$1, INDEX('Soruce file '!$A:$Z, 0, MATCH("Date", 'Soruce file '!$1:$1, 0)), "&lt;="&amp;EOMONTH($B$1,0), INDEX('Soruce file '!$A:$Z, 0, MATCH("GA*", 'Soruce file '!$1:$1, 0)), $A34), 0)</f>
        <v>0</v>
      </c>
      <c r="E34" s="17">
        <f>IFERROR(SUMIFS(INDEX('Soruce file '!$A:$Z, 0, MATCH("Fatigue", 'Soruce file '!$1:$1, 0)), INDEX('Soruce file '!$A:$Z, 0, MATCH("Date", 'Soruce file '!$1:$1, 0)), $B$1, INDEX('Soruce file '!$A:$Z, 0, MATCH("GA*", 'Soruce file '!$1:$1, 0)), $A34), 0)</f>
        <v>0</v>
      </c>
      <c r="F34" s="17">
        <f>IFERROR(SUMIFS(INDEX('Soruce file '!$A:$Z, 0, MATCH("Harsh Braking", 'Soruce file '!$1:$1, 0)), INDEX('Soruce file '!$A:$Z, 0, MATCH("Date", 'Soruce file '!$1:$1, 0)), "&gt;="&amp;$B$1, INDEX('Soruce file '!$A:$Z, 0, MATCH("Date", 'Soruce file '!$1:$1, 0)), "&lt;="&amp;EOMONTH($B$1,0), INDEX('Soruce file '!$A:$Z, 0, MATCH("GA*", 'Soruce file '!$1:$1, 0)), $A34), 0)</f>
        <v>0</v>
      </c>
      <c r="G34" s="17">
        <f>IFERROR(SUMIFS(INDEX('Soruce file '!$A:$Z, 0, MATCH("Overspeed", 'Soruce file '!$1:$1, 0)), INDEX('Soruce file '!$A:$Z, 0, MATCH("Date", 'Soruce file '!$1:$1, 0)), $B$1, INDEX('Soruce file '!$A:$Z, 0, MATCH("GA*", 'Soruce file '!$1:$1, 0)), $A34), 0)</f>
        <v>0</v>
      </c>
      <c r="H34" s="17">
        <f>IFERROR(SUMIFS(INDEX('Soruce file '!$A:$Z, 0, MATCH("Sudden Acceleration", 'Soruce file '!$1:$1, 0)), INDEX('Soruce file '!$A:$Z, 0, MATCH("Date", 'Soruce file '!$1:$1, 0)), "&gt;="&amp;$B$1, INDEX('Soruce file '!$A:$Z, 0, MATCH("Date", 'Soruce file '!$1:$1, 0)), "&lt;="&amp;EOMONTH($B$1,0), INDEX('Soruce file '!$A:$Z, 0, MATCH("GA*", 'Soruce file '!$1:$1, 0)), $A34), 0)</f>
        <v>0</v>
      </c>
      <c r="I34" s="17">
        <f>IFERROR(SUMIFS(INDEX('Soruce file '!$A:$Z, 0, MATCH("Camera Anomaly", 'Soruce file '!$1:$1, 0)), INDEX('Soruce file '!$A:$Z, 0, MATCH("Date", 'Soruce file '!$1:$1, 0)), "&gt;="&amp;$B$1, INDEX('Soruce file '!$A:$Z, 0, MATCH("Date", 'Soruce file '!$1:$1, 0)), "&lt;="&amp;EOMONTH($B$1,0), INDEX('Soruce file '!$A:$Z, 0, MATCH("GA*", 'Soruce file '!$1:$1, 0)), $A34), 0)</f>
        <v>0</v>
      </c>
      <c r="J34" s="17">
        <f>IFERROR(SUMIFS(INDEX('Soruce file '!$A:$Z, 0, MATCH("CD", 'Soruce file '!$1:$1, 0)), INDEX('Soruce file '!$A:$Z, 0, MATCH("Date", 'Soruce file '!$1:$1, 0)), "&gt;="&amp;$B$1, INDEX('Soruce file '!$A:$Z, 0, MATCH("Date", 'Soruce file '!$1:$1, 0)), "&lt;="&amp;EOMONTH($B$1,0), INDEX('Soruce file '!$A:$Z, 0, MATCH("GA*", 'Soruce file '!$1:$1, 0)), $A34), 0)</f>
        <v>0</v>
      </c>
      <c r="K34" s="17">
        <f>IFERROR(SUMIFS(INDEX('Soruce file '!$A:$Z, 0, MATCH("Night Driving", 'Soruce file '!$1:$1, 0)), INDEX('Soruce file '!$A:$Z, 0, MATCH("Date", 'Soruce file '!$1:$1, 0)), "&gt;="&amp;$B$1, INDEX('Soruce file '!$A:$Z, 0, MATCH("Date", 'Soruce file '!$1:$1, 0)), "&lt;="&amp;EOMONTH($B$1,0), INDEX('Soruce file '!$A:$Z, 0, MATCH("GA*", 'Soruce file '!$1:$1, 0)), $A34), 0)</f>
        <v>0</v>
      </c>
      <c r="L34" s="17">
        <f t="shared" si="2"/>
        <v>4</v>
      </c>
    </row>
    <row r="35" spans="1:14">
      <c r="A35" s="8" t="s">
        <v>414</v>
      </c>
      <c r="B35" s="58">
        <f>IFERROR(SUMIFS(INDEX('Soruce file '!$A:$Z, 0, MATCH("Mobile Usage", 'Soruce file '!$1:$1, 0)), INDEX('Soruce file '!$A:$Z, 0, MATCH("Date", 'Soruce file '!$1:$1, 0)), "&gt;="&amp;$B$1, INDEX('Soruce file '!$A:$Z, 0, MATCH("Date", 'Soruce file '!$1:$1, 0)), "&lt;="&amp;EOMONTH($B$1,0), INDEX('Soruce file '!$A:$Z, 0, MATCH("GA*", 'Soruce file '!$1:$1, 0)), $A35), 0)</f>
        <v>0</v>
      </c>
      <c r="C35" s="17">
        <f>IFERROR(SUMIFS(INDEX('Soruce file '!$A:$Z, 0, MATCH("No Seatbelt", 'Soruce file '!$1:$1, 0)), INDEX('Soruce file '!$A:$Z, 0, MATCH("Date", 'Soruce file '!$1:$1, 0)), "&gt;="&amp;$B$1, INDEX('Soruce file '!$A:$Z, 0, MATCH("Date", 'Soruce file '!$1:$1, 0)), "&lt;="&amp;EOMONTH($B$1,0), INDEX('Soruce file '!$A:$Z, 0, MATCH("GA*", 'Soruce file '!$1:$1, 0)), $A35), 0)</f>
        <v>0</v>
      </c>
      <c r="D35" s="17">
        <f>IFERROR(SUMIFS(INDEX('Soruce file '!$A:$Z, 0, MATCH("Yawning", 'Soruce file '!$1:$1, 0)), INDEX('Soruce file '!$A:$Z, 0, MATCH("Date", 'Soruce file '!$1:$1, 0)), "&gt;="&amp;$B$1, INDEX('Soruce file '!$A:$Z, 0, MATCH("Date", 'Soruce file '!$1:$1, 0)), "&lt;="&amp;EOMONTH($B$1,0), INDEX('Soruce file '!$A:$Z, 0, MATCH("GA*", 'Soruce file '!$1:$1, 0)), $A35), 0)</f>
        <v>0</v>
      </c>
      <c r="E35" s="17">
        <f>IFERROR(SUMIFS(INDEX('Soruce file '!$A:$Z, 0, MATCH("Fatigue", 'Soruce file '!$1:$1, 0)), INDEX('Soruce file '!$A:$Z, 0, MATCH("Date", 'Soruce file '!$1:$1, 0)), $B$1, INDEX('Soruce file '!$A:$Z, 0, MATCH("GA*", 'Soruce file '!$1:$1, 0)), $A35), 0)</f>
        <v>0</v>
      </c>
      <c r="F35" s="17">
        <f>IFERROR(SUMIFS(INDEX('Soruce file '!$A:$Z, 0, MATCH("Harsh Braking", 'Soruce file '!$1:$1, 0)), INDEX('Soruce file '!$A:$Z, 0, MATCH("Date", 'Soruce file '!$1:$1, 0)), "&gt;="&amp;$B$1, INDEX('Soruce file '!$A:$Z, 0, MATCH("Date", 'Soruce file '!$1:$1, 0)), "&lt;="&amp;EOMONTH($B$1,0), INDEX('Soruce file '!$A:$Z, 0, MATCH("GA*", 'Soruce file '!$1:$1, 0)), $A35), 0)</f>
        <v>0</v>
      </c>
      <c r="G35" s="17">
        <f>IFERROR(SUMIFS(INDEX('Soruce file '!$A:$Z, 0, MATCH("Overspeed", 'Soruce file '!$1:$1, 0)), INDEX('Soruce file '!$A:$Z, 0, MATCH("Date", 'Soruce file '!$1:$1, 0)), $B$1, INDEX('Soruce file '!$A:$Z, 0, MATCH("GA*", 'Soruce file '!$1:$1, 0)), $A35), 0)</f>
        <v>0</v>
      </c>
      <c r="H35" s="17">
        <f>IFERROR(SUMIFS(INDEX('Soruce file '!$A:$Z, 0, MATCH("Sudden Acceleration", 'Soruce file '!$1:$1, 0)), INDEX('Soruce file '!$A:$Z, 0, MATCH("Date", 'Soruce file '!$1:$1, 0)), "&gt;="&amp;$B$1, INDEX('Soruce file '!$A:$Z, 0, MATCH("Date", 'Soruce file '!$1:$1, 0)), "&lt;="&amp;EOMONTH($B$1,0), INDEX('Soruce file '!$A:$Z, 0, MATCH("GA*", 'Soruce file '!$1:$1, 0)), $A35), 0)</f>
        <v>0</v>
      </c>
      <c r="I35" s="17">
        <f>IFERROR(SUMIFS(INDEX('Soruce file '!$A:$Z, 0, MATCH("Camera Anomaly", 'Soruce file '!$1:$1, 0)), INDEX('Soruce file '!$A:$Z, 0, MATCH("Date", 'Soruce file '!$1:$1, 0)), "&gt;="&amp;$B$1, INDEX('Soruce file '!$A:$Z, 0, MATCH("Date", 'Soruce file '!$1:$1, 0)), "&lt;="&amp;EOMONTH($B$1,0), INDEX('Soruce file '!$A:$Z, 0, MATCH("GA*", 'Soruce file '!$1:$1, 0)), $A35), 0)</f>
        <v>0</v>
      </c>
      <c r="J35" s="17">
        <f>IFERROR(SUMIFS(INDEX('Soruce file '!$A:$Z, 0, MATCH("CD", 'Soruce file '!$1:$1, 0)), INDEX('Soruce file '!$A:$Z, 0, MATCH("Date", 'Soruce file '!$1:$1, 0)), "&gt;="&amp;$B$1, INDEX('Soruce file '!$A:$Z, 0, MATCH("Date", 'Soruce file '!$1:$1, 0)), "&lt;="&amp;EOMONTH($B$1,0), INDEX('Soruce file '!$A:$Z, 0, MATCH("GA*", 'Soruce file '!$1:$1, 0)), $A35), 0)</f>
        <v>0</v>
      </c>
      <c r="K35" s="17">
        <f>IFERROR(SUMIFS(INDEX('Soruce file '!$A:$Z, 0, MATCH("Night Driving", 'Soruce file '!$1:$1, 0)), INDEX('Soruce file '!$A:$Z, 0, MATCH("Date", 'Soruce file '!$1:$1, 0)), "&gt;="&amp;$B$1, INDEX('Soruce file '!$A:$Z, 0, MATCH("Date", 'Soruce file '!$1:$1, 0)), "&lt;="&amp;EOMONTH($B$1,0), INDEX('Soruce file '!$A:$Z, 0, MATCH("GA*", 'Soruce file '!$1:$1, 0)), $A35), 0)</f>
        <v>0</v>
      </c>
      <c r="L35" s="17">
        <f t="shared" si="2"/>
        <v>0</v>
      </c>
    </row>
    <row r="36" spans="1:14">
      <c r="A36" s="8" t="s">
        <v>260</v>
      </c>
      <c r="B36" s="58">
        <f>IFERROR(SUMIFS(INDEX('Soruce file '!$A:$Z, 0, MATCH("Mobile Usage", 'Soruce file '!$1:$1, 0)), INDEX('Soruce file '!$A:$Z, 0, MATCH("Date", 'Soruce file '!$1:$1, 0)), "&gt;="&amp;$B$1, INDEX('Soruce file '!$A:$Z, 0, MATCH("Date", 'Soruce file '!$1:$1, 0)), "&lt;="&amp;EOMONTH($B$1,0), INDEX('Soruce file '!$A:$Z, 0, MATCH("GA*", 'Soruce file '!$1:$1, 0)), $A36), 0)</f>
        <v>9</v>
      </c>
      <c r="C36" s="17">
        <f>IFERROR(SUMIFS(INDEX('Soruce file '!$A:$Z, 0, MATCH("No Seatbelt", 'Soruce file '!$1:$1, 0)), INDEX('Soruce file '!$A:$Z, 0, MATCH("Date", 'Soruce file '!$1:$1, 0)), "&gt;="&amp;$B$1, INDEX('Soruce file '!$A:$Z, 0, MATCH("Date", 'Soruce file '!$1:$1, 0)), "&lt;="&amp;EOMONTH($B$1,0), INDEX('Soruce file '!$A:$Z, 0, MATCH("GA*", 'Soruce file '!$1:$1, 0)), $A36), 0)</f>
        <v>3</v>
      </c>
      <c r="D36" s="17">
        <f>IFERROR(SUMIFS(INDEX('Soruce file '!$A:$Z, 0, MATCH("Yawning", 'Soruce file '!$1:$1, 0)), INDEX('Soruce file '!$A:$Z, 0, MATCH("Date", 'Soruce file '!$1:$1, 0)), "&gt;="&amp;$B$1, INDEX('Soruce file '!$A:$Z, 0, MATCH("Date", 'Soruce file '!$1:$1, 0)), "&lt;="&amp;EOMONTH($B$1,0), INDEX('Soruce file '!$A:$Z, 0, MATCH("GA*", 'Soruce file '!$1:$1, 0)), $A36), 0)</f>
        <v>0</v>
      </c>
      <c r="E36" s="17">
        <f>IFERROR(SUMIFS(INDEX('Soruce file '!$A:$Z, 0, MATCH("Fatigue", 'Soruce file '!$1:$1, 0)), INDEX('Soruce file '!$A:$Z, 0, MATCH("Date", 'Soruce file '!$1:$1, 0)), $B$1, INDEX('Soruce file '!$A:$Z, 0, MATCH("GA*", 'Soruce file '!$1:$1, 0)), $A36), 0)</f>
        <v>0</v>
      </c>
      <c r="F36" s="17">
        <f>IFERROR(SUMIFS(INDEX('Soruce file '!$A:$Z, 0, MATCH("Harsh Braking", 'Soruce file '!$1:$1, 0)), INDEX('Soruce file '!$A:$Z, 0, MATCH("Date", 'Soruce file '!$1:$1, 0)), "&gt;="&amp;$B$1, INDEX('Soruce file '!$A:$Z, 0, MATCH("Date", 'Soruce file '!$1:$1, 0)), "&lt;="&amp;EOMONTH($B$1,0), INDEX('Soruce file '!$A:$Z, 0, MATCH("GA*", 'Soruce file '!$1:$1, 0)), $A36), 0)</f>
        <v>0</v>
      </c>
      <c r="G36" s="17">
        <f>IFERROR(SUMIFS(INDEX('Soruce file '!$A:$Z, 0, MATCH("Overspeed", 'Soruce file '!$1:$1, 0)), INDEX('Soruce file '!$A:$Z, 0, MATCH("Date", 'Soruce file '!$1:$1, 0)), $B$1, INDEX('Soruce file '!$A:$Z, 0, MATCH("GA*", 'Soruce file '!$1:$1, 0)), $A36), 0)</f>
        <v>0</v>
      </c>
      <c r="H36" s="17">
        <f>IFERROR(SUMIFS(INDEX('Soruce file '!$A:$Z, 0, MATCH("Sudden Acceleration", 'Soruce file '!$1:$1, 0)), INDEX('Soruce file '!$A:$Z, 0, MATCH("Date", 'Soruce file '!$1:$1, 0)), "&gt;="&amp;$B$1, INDEX('Soruce file '!$A:$Z, 0, MATCH("Date", 'Soruce file '!$1:$1, 0)), "&lt;="&amp;EOMONTH($B$1,0), INDEX('Soruce file '!$A:$Z, 0, MATCH("GA*", 'Soruce file '!$1:$1, 0)), $A36), 0)</f>
        <v>0</v>
      </c>
      <c r="I36" s="17">
        <f>IFERROR(SUMIFS(INDEX('Soruce file '!$A:$Z, 0, MATCH("Camera Anomaly", 'Soruce file '!$1:$1, 0)), INDEX('Soruce file '!$A:$Z, 0, MATCH("Date", 'Soruce file '!$1:$1, 0)), "&gt;="&amp;$B$1, INDEX('Soruce file '!$A:$Z, 0, MATCH("Date", 'Soruce file '!$1:$1, 0)), "&lt;="&amp;EOMONTH($B$1,0), INDEX('Soruce file '!$A:$Z, 0, MATCH("GA*", 'Soruce file '!$1:$1, 0)), $A36), 0)</f>
        <v>0</v>
      </c>
      <c r="J36" s="17">
        <f>IFERROR(SUMIFS(INDEX('Soruce file '!$A:$Z, 0, MATCH("CD", 'Soruce file '!$1:$1, 0)), INDEX('Soruce file '!$A:$Z, 0, MATCH("Date", 'Soruce file '!$1:$1, 0)), "&gt;="&amp;$B$1, INDEX('Soruce file '!$A:$Z, 0, MATCH("Date", 'Soruce file '!$1:$1, 0)), "&lt;="&amp;EOMONTH($B$1,0), INDEX('Soruce file '!$A:$Z, 0, MATCH("GA*", 'Soruce file '!$1:$1, 0)), $A36), 0)</f>
        <v>0</v>
      </c>
      <c r="K36" s="17">
        <f>IFERROR(SUMIFS(INDEX('Soruce file '!$A:$Z, 0, MATCH("Night Driving", 'Soruce file '!$1:$1, 0)), INDEX('Soruce file '!$A:$Z, 0, MATCH("Date", 'Soruce file '!$1:$1, 0)), "&gt;="&amp;$B$1, INDEX('Soruce file '!$A:$Z, 0, MATCH("Date", 'Soruce file '!$1:$1, 0)), "&lt;="&amp;EOMONTH($B$1,0), INDEX('Soruce file '!$A:$Z, 0, MATCH("GA*", 'Soruce file '!$1:$1, 0)), $A36), 0)</f>
        <v>0</v>
      </c>
      <c r="L36" s="17">
        <f t="shared" si="2"/>
        <v>12</v>
      </c>
    </row>
    <row r="37" spans="1:14">
      <c r="A37" s="8" t="s">
        <v>27</v>
      </c>
      <c r="B37" s="58">
        <f>IFERROR(SUMIFS(INDEX('Soruce file '!$A:$Z, 0, MATCH("Mobile Usage", 'Soruce file '!$1:$1, 0)), INDEX('Soruce file '!$A:$Z, 0, MATCH("Date", 'Soruce file '!$1:$1, 0)), "&gt;="&amp;$B$1, INDEX('Soruce file '!$A:$Z, 0, MATCH("Date", 'Soruce file '!$1:$1, 0)), "&lt;="&amp;EOMONTH($B$1,0), INDEX('Soruce file '!$A:$Z, 0, MATCH("GA*", 'Soruce file '!$1:$1, 0)), $A37), 0)</f>
        <v>3</v>
      </c>
      <c r="C37" s="17">
        <f>IFERROR(SUMIFS(INDEX('Soruce file '!$A:$Z, 0, MATCH("No Seatbelt", 'Soruce file '!$1:$1, 0)), INDEX('Soruce file '!$A:$Z, 0, MATCH("Date", 'Soruce file '!$1:$1, 0)), "&gt;="&amp;$B$1, INDEX('Soruce file '!$A:$Z, 0, MATCH("Date", 'Soruce file '!$1:$1, 0)), "&lt;="&amp;EOMONTH($B$1,0), INDEX('Soruce file '!$A:$Z, 0, MATCH("GA*", 'Soruce file '!$1:$1, 0)), $A37), 0)</f>
        <v>1</v>
      </c>
      <c r="D37" s="17">
        <f>IFERROR(SUMIFS(INDEX('Soruce file '!$A:$Z, 0, MATCH("Yawning", 'Soruce file '!$1:$1, 0)), INDEX('Soruce file '!$A:$Z, 0, MATCH("Date", 'Soruce file '!$1:$1, 0)), "&gt;="&amp;$B$1, INDEX('Soruce file '!$A:$Z, 0, MATCH("Date", 'Soruce file '!$1:$1, 0)), "&lt;="&amp;EOMONTH($B$1,0), INDEX('Soruce file '!$A:$Z, 0, MATCH("GA*", 'Soruce file '!$1:$1, 0)), $A37), 0)</f>
        <v>0</v>
      </c>
      <c r="E37" s="17">
        <f>IFERROR(SUMIFS(INDEX('Soruce file '!$A:$Z, 0, MATCH("Fatigue", 'Soruce file '!$1:$1, 0)), INDEX('Soruce file '!$A:$Z, 0, MATCH("Date", 'Soruce file '!$1:$1, 0)), $B$1, INDEX('Soruce file '!$A:$Z, 0, MATCH("GA*", 'Soruce file '!$1:$1, 0)), $A37), 0)</f>
        <v>0</v>
      </c>
      <c r="F37" s="17">
        <f>IFERROR(SUMIFS(INDEX('Soruce file '!$A:$Z, 0, MATCH("Harsh Braking", 'Soruce file '!$1:$1, 0)), INDEX('Soruce file '!$A:$Z, 0, MATCH("Date", 'Soruce file '!$1:$1, 0)), "&gt;="&amp;$B$1, INDEX('Soruce file '!$A:$Z, 0, MATCH("Date", 'Soruce file '!$1:$1, 0)), "&lt;="&amp;EOMONTH($B$1,0), INDEX('Soruce file '!$A:$Z, 0, MATCH("GA*", 'Soruce file '!$1:$1, 0)), $A37), 0)</f>
        <v>0</v>
      </c>
      <c r="G37" s="17">
        <f>IFERROR(SUMIFS(INDEX('Soruce file '!$A:$Z, 0, MATCH("Overspeed", 'Soruce file '!$1:$1, 0)), INDEX('Soruce file '!$A:$Z, 0, MATCH("Date", 'Soruce file '!$1:$1, 0)), $B$1, INDEX('Soruce file '!$A:$Z, 0, MATCH("GA*", 'Soruce file '!$1:$1, 0)), $A37), 0)</f>
        <v>1</v>
      </c>
      <c r="H37" s="17">
        <f>IFERROR(SUMIFS(INDEX('Soruce file '!$A:$Z, 0, MATCH("Sudden Acceleration", 'Soruce file '!$1:$1, 0)), INDEX('Soruce file '!$A:$Z, 0, MATCH("Date", 'Soruce file '!$1:$1, 0)), "&gt;="&amp;$B$1, INDEX('Soruce file '!$A:$Z, 0, MATCH("Date", 'Soruce file '!$1:$1, 0)), "&lt;="&amp;EOMONTH($B$1,0), INDEX('Soruce file '!$A:$Z, 0, MATCH("GA*", 'Soruce file '!$1:$1, 0)), $A37), 0)</f>
        <v>0</v>
      </c>
      <c r="I37" s="17">
        <f>IFERROR(SUMIFS(INDEX('Soruce file '!$A:$Z, 0, MATCH("Camera Anomaly", 'Soruce file '!$1:$1, 0)), INDEX('Soruce file '!$A:$Z, 0, MATCH("Date", 'Soruce file '!$1:$1, 0)), "&gt;="&amp;$B$1, INDEX('Soruce file '!$A:$Z, 0, MATCH("Date", 'Soruce file '!$1:$1, 0)), "&lt;="&amp;EOMONTH($B$1,0), INDEX('Soruce file '!$A:$Z, 0, MATCH("GA*", 'Soruce file '!$1:$1, 0)), $A37), 0)</f>
        <v>2</v>
      </c>
      <c r="J37" s="17">
        <f>IFERROR(SUMIFS(INDEX('Soruce file '!$A:$Z, 0, MATCH("CD", 'Soruce file '!$1:$1, 0)), INDEX('Soruce file '!$A:$Z, 0, MATCH("Date", 'Soruce file '!$1:$1, 0)), "&gt;="&amp;$B$1, INDEX('Soruce file '!$A:$Z, 0, MATCH("Date", 'Soruce file '!$1:$1, 0)), "&lt;="&amp;EOMONTH($B$1,0), INDEX('Soruce file '!$A:$Z, 0, MATCH("GA*", 'Soruce file '!$1:$1, 0)), $A37), 0)</f>
        <v>0</v>
      </c>
      <c r="K37" s="17">
        <f>IFERROR(SUMIFS(INDEX('Soruce file '!$A:$Z, 0, MATCH("Night Driving", 'Soruce file '!$1:$1, 0)), INDEX('Soruce file '!$A:$Z, 0, MATCH("Date", 'Soruce file '!$1:$1, 0)), "&gt;="&amp;$B$1, INDEX('Soruce file '!$A:$Z, 0, MATCH("Date", 'Soruce file '!$1:$1, 0)), "&lt;="&amp;EOMONTH($B$1,0), INDEX('Soruce file '!$A:$Z, 0, MATCH("GA*", 'Soruce file '!$1:$1, 0)), $A37), 0)</f>
        <v>0</v>
      </c>
      <c r="L37" s="17">
        <f t="shared" si="2"/>
        <v>7</v>
      </c>
    </row>
    <row r="38" spans="1:14">
      <c r="A38" s="8" t="s">
        <v>128</v>
      </c>
      <c r="B38" s="58">
        <f>IFERROR(SUMIFS(INDEX('Soruce file '!$A:$Z, 0, MATCH("Mobile Usage", 'Soruce file '!$1:$1, 0)), INDEX('Soruce file '!$A:$Z, 0, MATCH("Date", 'Soruce file '!$1:$1, 0)), "&gt;="&amp;$B$1, INDEX('Soruce file '!$A:$Z, 0, MATCH("Date", 'Soruce file '!$1:$1, 0)), "&lt;="&amp;EOMONTH($B$1,0), INDEX('Soruce file '!$A:$Z, 0, MATCH("GA*", 'Soruce file '!$1:$1, 0)), $A38), 0)</f>
        <v>0</v>
      </c>
      <c r="C38" s="17">
        <f>IFERROR(SUMIFS(INDEX('Soruce file '!$A:$Z, 0, MATCH("No Seatbelt", 'Soruce file '!$1:$1, 0)), INDEX('Soruce file '!$A:$Z, 0, MATCH("Date", 'Soruce file '!$1:$1, 0)), "&gt;="&amp;$B$1, INDEX('Soruce file '!$A:$Z, 0, MATCH("Date", 'Soruce file '!$1:$1, 0)), "&lt;="&amp;EOMONTH($B$1,0), INDEX('Soruce file '!$A:$Z, 0, MATCH("GA*", 'Soruce file '!$1:$1, 0)), $A38), 0)</f>
        <v>0</v>
      </c>
      <c r="D38" s="17">
        <f>IFERROR(SUMIFS(INDEX('Soruce file '!$A:$Z, 0, MATCH("Yawning", 'Soruce file '!$1:$1, 0)), INDEX('Soruce file '!$A:$Z, 0, MATCH("Date", 'Soruce file '!$1:$1, 0)), "&gt;="&amp;$B$1, INDEX('Soruce file '!$A:$Z, 0, MATCH("Date", 'Soruce file '!$1:$1, 0)), "&lt;="&amp;EOMONTH($B$1,0), INDEX('Soruce file '!$A:$Z, 0, MATCH("GA*", 'Soruce file '!$1:$1, 0)), $A38), 0)</f>
        <v>0</v>
      </c>
      <c r="E38" s="17">
        <f>IFERROR(SUMIFS(INDEX('Soruce file '!$A:$Z, 0, MATCH("Fatigue", 'Soruce file '!$1:$1, 0)), INDEX('Soruce file '!$A:$Z, 0, MATCH("Date", 'Soruce file '!$1:$1, 0)), $B$1, INDEX('Soruce file '!$A:$Z, 0, MATCH("GA*", 'Soruce file '!$1:$1, 0)), $A38), 0)</f>
        <v>0</v>
      </c>
      <c r="F38" s="17">
        <f>IFERROR(SUMIFS(INDEX('Soruce file '!$A:$Z, 0, MATCH("Harsh Braking", 'Soruce file '!$1:$1, 0)), INDEX('Soruce file '!$A:$Z, 0, MATCH("Date", 'Soruce file '!$1:$1, 0)), "&gt;="&amp;$B$1, INDEX('Soruce file '!$A:$Z, 0, MATCH("Date", 'Soruce file '!$1:$1, 0)), "&lt;="&amp;EOMONTH($B$1,0), INDEX('Soruce file '!$A:$Z, 0, MATCH("GA*", 'Soruce file '!$1:$1, 0)), $A38), 0)</f>
        <v>0</v>
      </c>
      <c r="G38" s="17">
        <f>IFERROR(SUMIFS(INDEX('Soruce file '!$A:$Z, 0, MATCH("Overspeed", 'Soruce file '!$1:$1, 0)), INDEX('Soruce file '!$A:$Z, 0, MATCH("Date", 'Soruce file '!$1:$1, 0)), $B$1, INDEX('Soruce file '!$A:$Z, 0, MATCH("GA*", 'Soruce file '!$1:$1, 0)), $A38), 0)</f>
        <v>0</v>
      </c>
      <c r="H38" s="17">
        <f>IFERROR(SUMIFS(INDEX('Soruce file '!$A:$Z, 0, MATCH("Sudden Acceleration", 'Soruce file '!$1:$1, 0)), INDEX('Soruce file '!$A:$Z, 0, MATCH("Date", 'Soruce file '!$1:$1, 0)), "&gt;="&amp;$B$1, INDEX('Soruce file '!$A:$Z, 0, MATCH("Date", 'Soruce file '!$1:$1, 0)), "&lt;="&amp;EOMONTH($B$1,0), INDEX('Soruce file '!$A:$Z, 0, MATCH("GA*", 'Soruce file '!$1:$1, 0)), $A38), 0)</f>
        <v>0</v>
      </c>
      <c r="I38" s="17">
        <f>IFERROR(SUMIFS(INDEX('Soruce file '!$A:$Z, 0, MATCH("Camera Anomaly", 'Soruce file '!$1:$1, 0)), INDEX('Soruce file '!$A:$Z, 0, MATCH("Date", 'Soruce file '!$1:$1, 0)), "&gt;="&amp;$B$1, INDEX('Soruce file '!$A:$Z, 0, MATCH("Date", 'Soruce file '!$1:$1, 0)), "&lt;="&amp;EOMONTH($B$1,0), INDEX('Soruce file '!$A:$Z, 0, MATCH("GA*", 'Soruce file '!$1:$1, 0)), $A38), 0)</f>
        <v>0</v>
      </c>
      <c r="J38" s="17">
        <f>IFERROR(SUMIFS(INDEX('Soruce file '!$A:$Z, 0, MATCH("CD", 'Soruce file '!$1:$1, 0)), INDEX('Soruce file '!$A:$Z, 0, MATCH("Date", 'Soruce file '!$1:$1, 0)), "&gt;="&amp;$B$1, INDEX('Soruce file '!$A:$Z, 0, MATCH("Date", 'Soruce file '!$1:$1, 0)), "&lt;="&amp;EOMONTH($B$1,0), INDEX('Soruce file '!$A:$Z, 0, MATCH("GA*", 'Soruce file '!$1:$1, 0)), $A38), 0)</f>
        <v>0</v>
      </c>
      <c r="K38" s="17">
        <f>IFERROR(SUMIFS(INDEX('Soruce file '!$A:$Z, 0, MATCH("Night Driving", 'Soruce file '!$1:$1, 0)), INDEX('Soruce file '!$A:$Z, 0, MATCH("Date", 'Soruce file '!$1:$1, 0)), "&gt;="&amp;$B$1, INDEX('Soruce file '!$A:$Z, 0, MATCH("Date", 'Soruce file '!$1:$1, 0)), "&lt;="&amp;EOMONTH($B$1,0), INDEX('Soruce file '!$A:$Z, 0, MATCH("GA*", 'Soruce file '!$1:$1, 0)), $A38), 0)</f>
        <v>0</v>
      </c>
      <c r="L38" s="17">
        <f t="shared" si="2"/>
        <v>0</v>
      </c>
    </row>
    <row r="39" spans="1:14">
      <c r="A39" s="8" t="s">
        <v>23</v>
      </c>
      <c r="B39" s="58">
        <f>IFERROR(SUMIFS(INDEX('Soruce file '!$A:$Z, 0, MATCH("Mobile Usage", 'Soruce file '!$1:$1, 0)), INDEX('Soruce file '!$A:$Z, 0, MATCH("Date", 'Soruce file '!$1:$1, 0)), "&gt;="&amp;$B$1, INDEX('Soruce file '!$A:$Z, 0, MATCH("Date", 'Soruce file '!$1:$1, 0)), "&lt;="&amp;EOMONTH($B$1,0), INDEX('Soruce file '!$A:$Z, 0, MATCH("GA*", 'Soruce file '!$1:$1, 0)), $A39), 0)</f>
        <v>0</v>
      </c>
      <c r="C39" s="17">
        <f>IFERROR(SUMIFS(INDEX('Soruce file '!$A:$Z, 0, MATCH("No Seatbelt", 'Soruce file '!$1:$1, 0)), INDEX('Soruce file '!$A:$Z, 0, MATCH("Date", 'Soruce file '!$1:$1, 0)), "&gt;="&amp;$B$1, INDEX('Soruce file '!$A:$Z, 0, MATCH("Date", 'Soruce file '!$1:$1, 0)), "&lt;="&amp;EOMONTH($B$1,0), INDEX('Soruce file '!$A:$Z, 0, MATCH("GA*", 'Soruce file '!$1:$1, 0)), $A39), 0)</f>
        <v>0</v>
      </c>
      <c r="D39" s="17">
        <f>IFERROR(SUMIFS(INDEX('Soruce file '!$A:$Z, 0, MATCH("Yawning", 'Soruce file '!$1:$1, 0)), INDEX('Soruce file '!$A:$Z, 0, MATCH("Date", 'Soruce file '!$1:$1, 0)), "&gt;="&amp;$B$1, INDEX('Soruce file '!$A:$Z, 0, MATCH("Date", 'Soruce file '!$1:$1, 0)), "&lt;="&amp;EOMONTH($B$1,0), INDEX('Soruce file '!$A:$Z, 0, MATCH("GA*", 'Soruce file '!$1:$1, 0)), $A39), 0)</f>
        <v>0</v>
      </c>
      <c r="E39" s="17">
        <f>IFERROR(SUMIFS(INDEX('Soruce file '!$A:$Z, 0, MATCH("Fatigue", 'Soruce file '!$1:$1, 0)), INDEX('Soruce file '!$A:$Z, 0, MATCH("Date", 'Soruce file '!$1:$1, 0)), $B$1, INDEX('Soruce file '!$A:$Z, 0, MATCH("GA*", 'Soruce file '!$1:$1, 0)), $A39), 0)</f>
        <v>0</v>
      </c>
      <c r="F39" s="17">
        <f>IFERROR(SUMIFS(INDEX('Soruce file '!$A:$Z, 0, MATCH("Harsh Braking", 'Soruce file '!$1:$1, 0)), INDEX('Soruce file '!$A:$Z, 0, MATCH("Date", 'Soruce file '!$1:$1, 0)), "&gt;="&amp;$B$1, INDEX('Soruce file '!$A:$Z, 0, MATCH("Date", 'Soruce file '!$1:$1, 0)), "&lt;="&amp;EOMONTH($B$1,0), INDEX('Soruce file '!$A:$Z, 0, MATCH("GA*", 'Soruce file '!$1:$1, 0)), $A39), 0)</f>
        <v>0</v>
      </c>
      <c r="G39" s="17">
        <f>IFERROR(SUMIFS(INDEX('Soruce file '!$A:$Z, 0, MATCH("Overspeed", 'Soruce file '!$1:$1, 0)), INDEX('Soruce file '!$A:$Z, 0, MATCH("Date", 'Soruce file '!$1:$1, 0)), $B$1, INDEX('Soruce file '!$A:$Z, 0, MATCH("GA*", 'Soruce file '!$1:$1, 0)), $A39), 0)</f>
        <v>0</v>
      </c>
      <c r="H39" s="17">
        <f>IFERROR(SUMIFS(INDEX('Soruce file '!$A:$Z, 0, MATCH("Sudden Acceleration", 'Soruce file '!$1:$1, 0)), INDEX('Soruce file '!$A:$Z, 0, MATCH("Date", 'Soruce file '!$1:$1, 0)), "&gt;="&amp;$B$1, INDEX('Soruce file '!$A:$Z, 0, MATCH("Date", 'Soruce file '!$1:$1, 0)), "&lt;="&amp;EOMONTH($B$1,0), INDEX('Soruce file '!$A:$Z, 0, MATCH("GA*", 'Soruce file '!$1:$1, 0)), $A39), 0)</f>
        <v>0</v>
      </c>
      <c r="I39" s="17">
        <f>IFERROR(SUMIFS(INDEX('Soruce file '!$A:$Z, 0, MATCH("Camera Anomaly", 'Soruce file '!$1:$1, 0)), INDEX('Soruce file '!$A:$Z, 0, MATCH("Date", 'Soruce file '!$1:$1, 0)), "&gt;="&amp;$B$1, INDEX('Soruce file '!$A:$Z, 0, MATCH("Date", 'Soruce file '!$1:$1, 0)), "&lt;="&amp;EOMONTH($B$1,0), INDEX('Soruce file '!$A:$Z, 0, MATCH("GA*", 'Soruce file '!$1:$1, 0)), $A39), 0)</f>
        <v>0</v>
      </c>
      <c r="J39" s="17">
        <f>IFERROR(SUMIFS(INDEX('Soruce file '!$A:$Z, 0, MATCH("CD", 'Soruce file '!$1:$1, 0)), INDEX('Soruce file '!$A:$Z, 0, MATCH("Date", 'Soruce file '!$1:$1, 0)), "&gt;="&amp;$B$1, INDEX('Soruce file '!$A:$Z, 0, MATCH("Date", 'Soruce file '!$1:$1, 0)), "&lt;="&amp;EOMONTH($B$1,0), INDEX('Soruce file '!$A:$Z, 0, MATCH("GA*", 'Soruce file '!$1:$1, 0)), $A39), 0)</f>
        <v>0</v>
      </c>
      <c r="K39" s="17">
        <f>IFERROR(SUMIFS(INDEX('Soruce file '!$A:$Z, 0, MATCH("Night Driving", 'Soruce file '!$1:$1, 0)), INDEX('Soruce file '!$A:$Z, 0, MATCH("Date", 'Soruce file '!$1:$1, 0)), "&gt;="&amp;$B$1, INDEX('Soruce file '!$A:$Z, 0, MATCH("Date", 'Soruce file '!$1:$1, 0)), "&lt;="&amp;EOMONTH($B$1,0), INDEX('Soruce file '!$A:$Z, 0, MATCH("GA*", 'Soruce file '!$1:$1, 0)), $A39), 0)</f>
        <v>0</v>
      </c>
      <c r="L39" s="17">
        <f t="shared" si="2"/>
        <v>0</v>
      </c>
      <c r="N39" s="2"/>
    </row>
    <row r="40" spans="1:14">
      <c r="A40" s="8" t="s">
        <v>58</v>
      </c>
      <c r="B40" s="58">
        <f>IFERROR(SUMIFS(INDEX('Soruce file '!$A:$Z, 0, MATCH("Mobile Usage", 'Soruce file '!$1:$1, 0)), INDEX('Soruce file '!$A:$Z, 0, MATCH("Date", 'Soruce file '!$1:$1, 0)), "&gt;="&amp;$B$1, INDEX('Soruce file '!$A:$Z, 0, MATCH("Date", 'Soruce file '!$1:$1, 0)), "&lt;="&amp;EOMONTH($B$1,0), INDEX('Soruce file '!$A:$Z, 0, MATCH("GA*", 'Soruce file '!$1:$1, 0)), $A40), 0)</f>
        <v>0</v>
      </c>
      <c r="C40" s="17">
        <f>IFERROR(SUMIFS(INDEX('Soruce file '!$A:$Z, 0, MATCH("No Seatbelt", 'Soruce file '!$1:$1, 0)), INDEX('Soruce file '!$A:$Z, 0, MATCH("Date", 'Soruce file '!$1:$1, 0)), "&gt;="&amp;$B$1, INDEX('Soruce file '!$A:$Z, 0, MATCH("Date", 'Soruce file '!$1:$1, 0)), "&lt;="&amp;EOMONTH($B$1,0), INDEX('Soruce file '!$A:$Z, 0, MATCH("GA*", 'Soruce file '!$1:$1, 0)), $A40), 0)</f>
        <v>1</v>
      </c>
      <c r="D40" s="17">
        <f>IFERROR(SUMIFS(INDEX('Soruce file '!$A:$Z, 0, MATCH("Yawning", 'Soruce file '!$1:$1, 0)), INDEX('Soruce file '!$A:$Z, 0, MATCH("Date", 'Soruce file '!$1:$1, 0)), "&gt;="&amp;$B$1, INDEX('Soruce file '!$A:$Z, 0, MATCH("Date", 'Soruce file '!$1:$1, 0)), "&lt;="&amp;EOMONTH($B$1,0), INDEX('Soruce file '!$A:$Z, 0, MATCH("GA*", 'Soruce file '!$1:$1, 0)), $A40), 0)</f>
        <v>0</v>
      </c>
      <c r="E40" s="17">
        <f>IFERROR(SUMIFS(INDEX('Soruce file '!$A:$Z, 0, MATCH("Fatigue", 'Soruce file '!$1:$1, 0)), INDEX('Soruce file '!$A:$Z, 0, MATCH("Date", 'Soruce file '!$1:$1, 0)), $B$1, INDEX('Soruce file '!$A:$Z, 0, MATCH("GA*", 'Soruce file '!$1:$1, 0)), $A40), 0)</f>
        <v>0</v>
      </c>
      <c r="F40" s="17">
        <f>IFERROR(SUMIFS(INDEX('Soruce file '!$A:$Z, 0, MATCH("Harsh Braking", 'Soruce file '!$1:$1, 0)), INDEX('Soruce file '!$A:$Z, 0, MATCH("Date", 'Soruce file '!$1:$1, 0)), "&gt;="&amp;$B$1, INDEX('Soruce file '!$A:$Z, 0, MATCH("Date", 'Soruce file '!$1:$1, 0)), "&lt;="&amp;EOMONTH($B$1,0), INDEX('Soruce file '!$A:$Z, 0, MATCH("GA*", 'Soruce file '!$1:$1, 0)), $A40), 0)</f>
        <v>0</v>
      </c>
      <c r="G40" s="17">
        <f>IFERROR(SUMIFS(INDEX('Soruce file '!$A:$Z, 0, MATCH("Overspeed", 'Soruce file '!$1:$1, 0)), INDEX('Soruce file '!$A:$Z, 0, MATCH("Date", 'Soruce file '!$1:$1, 0)), $B$1, INDEX('Soruce file '!$A:$Z, 0, MATCH("GA*", 'Soruce file '!$1:$1, 0)), $A40), 0)</f>
        <v>0</v>
      </c>
      <c r="H40" s="17">
        <f>IFERROR(SUMIFS(INDEX('Soruce file '!$A:$Z, 0, MATCH("Sudden Acceleration", 'Soruce file '!$1:$1, 0)), INDEX('Soruce file '!$A:$Z, 0, MATCH("Date", 'Soruce file '!$1:$1, 0)), "&gt;="&amp;$B$1, INDEX('Soruce file '!$A:$Z, 0, MATCH("Date", 'Soruce file '!$1:$1, 0)), "&lt;="&amp;EOMONTH($B$1,0), INDEX('Soruce file '!$A:$Z, 0, MATCH("GA*", 'Soruce file '!$1:$1, 0)), $A40), 0)</f>
        <v>0</v>
      </c>
      <c r="I40" s="17">
        <f>IFERROR(SUMIFS(INDEX('Soruce file '!$A:$Z, 0, MATCH("Camera Anomaly", 'Soruce file '!$1:$1, 0)), INDEX('Soruce file '!$A:$Z, 0, MATCH("Date", 'Soruce file '!$1:$1, 0)), "&gt;="&amp;$B$1, INDEX('Soruce file '!$A:$Z, 0, MATCH("Date", 'Soruce file '!$1:$1, 0)), "&lt;="&amp;EOMONTH($B$1,0), INDEX('Soruce file '!$A:$Z, 0, MATCH("GA*", 'Soruce file '!$1:$1, 0)), $A40), 0)</f>
        <v>0</v>
      </c>
      <c r="J40" s="17">
        <f>IFERROR(SUMIFS(INDEX('Soruce file '!$A:$Z, 0, MATCH("CD", 'Soruce file '!$1:$1, 0)), INDEX('Soruce file '!$A:$Z, 0, MATCH("Date", 'Soruce file '!$1:$1, 0)), "&gt;="&amp;$B$1, INDEX('Soruce file '!$A:$Z, 0, MATCH("Date", 'Soruce file '!$1:$1, 0)), "&lt;="&amp;EOMONTH($B$1,0), INDEX('Soruce file '!$A:$Z, 0, MATCH("GA*", 'Soruce file '!$1:$1, 0)), $A40), 0)</f>
        <v>0</v>
      </c>
      <c r="K40" s="17">
        <f>IFERROR(SUMIFS(INDEX('Soruce file '!$A:$Z, 0, MATCH("Night Driving", 'Soruce file '!$1:$1, 0)), INDEX('Soruce file '!$A:$Z, 0, MATCH("Date", 'Soruce file '!$1:$1, 0)), "&gt;="&amp;$B$1, INDEX('Soruce file '!$A:$Z, 0, MATCH("Date", 'Soruce file '!$1:$1, 0)), "&lt;="&amp;EOMONTH($B$1,0), INDEX('Soruce file '!$A:$Z, 0, MATCH("GA*", 'Soruce file '!$1:$1, 0)), $A40), 0)</f>
        <v>0</v>
      </c>
      <c r="L40" s="17">
        <f t="shared" si="2"/>
        <v>1</v>
      </c>
      <c r="N40" s="2"/>
    </row>
    <row r="41" spans="1:14">
      <c r="A41" s="8" t="s">
        <v>417</v>
      </c>
      <c r="B41" s="58">
        <f>IFERROR(SUMIFS(INDEX('Soruce file '!$A:$Z, 0, MATCH("Mobile Usage", 'Soruce file '!$1:$1, 0)), INDEX('Soruce file '!$A:$Z, 0, MATCH("Date", 'Soruce file '!$1:$1, 0)), "&gt;="&amp;$B$1, INDEX('Soruce file '!$A:$Z, 0, MATCH("Date", 'Soruce file '!$1:$1, 0)), "&lt;="&amp;EOMONTH($B$1,0), INDEX('Soruce file '!$A:$Z, 0, MATCH("GA*", 'Soruce file '!$1:$1, 0)), $A41), 0)</f>
        <v>4</v>
      </c>
      <c r="C41" s="17">
        <f>IFERROR(SUMIFS(INDEX('Soruce file '!$A:$Z, 0, MATCH("No Seatbelt", 'Soruce file '!$1:$1, 0)), INDEX('Soruce file '!$A:$Z, 0, MATCH("Date", 'Soruce file '!$1:$1, 0)), "&gt;="&amp;$B$1, INDEX('Soruce file '!$A:$Z, 0, MATCH("Date", 'Soruce file '!$1:$1, 0)), "&lt;="&amp;EOMONTH($B$1,0), INDEX('Soruce file '!$A:$Z, 0, MATCH("GA*", 'Soruce file '!$1:$1, 0)), $A41), 0)</f>
        <v>4</v>
      </c>
      <c r="D41" s="17">
        <f>IFERROR(SUMIFS(INDEX('Soruce file '!$A:$Z, 0, MATCH("Yawning", 'Soruce file '!$1:$1, 0)), INDEX('Soruce file '!$A:$Z, 0, MATCH("Date", 'Soruce file '!$1:$1, 0)), "&gt;="&amp;$B$1, INDEX('Soruce file '!$A:$Z, 0, MATCH("Date", 'Soruce file '!$1:$1, 0)), "&lt;="&amp;EOMONTH($B$1,0), INDEX('Soruce file '!$A:$Z, 0, MATCH("GA*", 'Soruce file '!$1:$1, 0)), $A41), 0)</f>
        <v>1</v>
      </c>
      <c r="E41" s="17">
        <f>IFERROR(SUMIFS(INDEX('Soruce file '!$A:$Z, 0, MATCH("Fatigue", 'Soruce file '!$1:$1, 0)), INDEX('Soruce file '!$A:$Z, 0, MATCH("Date", 'Soruce file '!$1:$1, 0)), $B$1, INDEX('Soruce file '!$A:$Z, 0, MATCH("GA*", 'Soruce file '!$1:$1, 0)), $A41), 0)</f>
        <v>0</v>
      </c>
      <c r="F41" s="17">
        <f>IFERROR(SUMIFS(INDEX('Soruce file '!$A:$Z, 0, MATCH("Harsh Braking", 'Soruce file '!$1:$1, 0)), INDEX('Soruce file '!$A:$Z, 0, MATCH("Date", 'Soruce file '!$1:$1, 0)), "&gt;="&amp;$B$1, INDEX('Soruce file '!$A:$Z, 0, MATCH("Date", 'Soruce file '!$1:$1, 0)), "&lt;="&amp;EOMONTH($B$1,0), INDEX('Soruce file '!$A:$Z, 0, MATCH("GA*", 'Soruce file '!$1:$1, 0)), $A41), 0)</f>
        <v>0</v>
      </c>
      <c r="G41" s="17">
        <f>IFERROR(SUMIFS(INDEX('Soruce file '!$A:$Z, 0, MATCH("Overspeed", 'Soruce file '!$1:$1, 0)), INDEX('Soruce file '!$A:$Z, 0, MATCH("Date", 'Soruce file '!$1:$1, 0)), $B$1, INDEX('Soruce file '!$A:$Z, 0, MATCH("GA*", 'Soruce file '!$1:$1, 0)), $A41), 0)</f>
        <v>0</v>
      </c>
      <c r="H41" s="17">
        <f>IFERROR(SUMIFS(INDEX('Soruce file '!$A:$Z, 0, MATCH("Sudden Acceleration", 'Soruce file '!$1:$1, 0)), INDEX('Soruce file '!$A:$Z, 0, MATCH("Date", 'Soruce file '!$1:$1, 0)), "&gt;="&amp;$B$1, INDEX('Soruce file '!$A:$Z, 0, MATCH("Date", 'Soruce file '!$1:$1, 0)), "&lt;="&amp;EOMONTH($B$1,0), INDEX('Soruce file '!$A:$Z, 0, MATCH("GA*", 'Soruce file '!$1:$1, 0)), $A41), 0)</f>
        <v>0</v>
      </c>
      <c r="I41" s="17">
        <f>IFERROR(SUMIFS(INDEX('Soruce file '!$A:$Z, 0, MATCH("Camera Anomaly", 'Soruce file '!$1:$1, 0)), INDEX('Soruce file '!$A:$Z, 0, MATCH("Date", 'Soruce file '!$1:$1, 0)), "&gt;="&amp;$B$1, INDEX('Soruce file '!$A:$Z, 0, MATCH("Date", 'Soruce file '!$1:$1, 0)), "&lt;="&amp;EOMONTH($B$1,0), INDEX('Soruce file '!$A:$Z, 0, MATCH("GA*", 'Soruce file '!$1:$1, 0)), $A41), 0)</f>
        <v>1</v>
      </c>
      <c r="J41" s="17">
        <f>IFERROR(SUMIFS(INDEX('Soruce file '!$A:$Z, 0, MATCH("CD", 'Soruce file '!$1:$1, 0)), INDEX('Soruce file '!$A:$Z, 0, MATCH("Date", 'Soruce file '!$1:$1, 0)), "&gt;="&amp;$B$1, INDEX('Soruce file '!$A:$Z, 0, MATCH("Date", 'Soruce file '!$1:$1, 0)), "&lt;="&amp;EOMONTH($B$1,0), INDEX('Soruce file '!$A:$Z, 0, MATCH("GA*", 'Soruce file '!$1:$1, 0)), $A41), 0)</f>
        <v>0</v>
      </c>
      <c r="K41" s="17">
        <f>IFERROR(SUMIFS(INDEX('Soruce file '!$A:$Z, 0, MATCH("Night Driving", 'Soruce file '!$1:$1, 0)), INDEX('Soruce file '!$A:$Z, 0, MATCH("Date", 'Soruce file '!$1:$1, 0)), "&gt;="&amp;$B$1, INDEX('Soruce file '!$A:$Z, 0, MATCH("Date", 'Soruce file '!$1:$1, 0)), "&lt;="&amp;EOMONTH($B$1,0), INDEX('Soruce file '!$A:$Z, 0, MATCH("GA*", 'Soruce file '!$1:$1, 0)), $A41), 0)</f>
        <v>0</v>
      </c>
      <c r="L41" s="17">
        <f t="shared" si="2"/>
        <v>10</v>
      </c>
      <c r="N41" s="2"/>
    </row>
    <row r="42" spans="1:14">
      <c r="A42" s="8" t="s">
        <v>21</v>
      </c>
      <c r="B42" s="58">
        <f>IFERROR(SUMIFS(INDEX('Soruce file '!$A:$Z, 0, MATCH("Mobile Usage", 'Soruce file '!$1:$1, 0)), INDEX('Soruce file '!$A:$Z, 0, MATCH("Date", 'Soruce file '!$1:$1, 0)), "&gt;="&amp;$B$1, INDEX('Soruce file '!$A:$Z, 0, MATCH("Date", 'Soruce file '!$1:$1, 0)), "&lt;="&amp;EOMONTH($B$1,0), INDEX('Soruce file '!$A:$Z, 0, MATCH("GA*", 'Soruce file '!$1:$1, 0)), $A42), 0)</f>
        <v>16</v>
      </c>
      <c r="C42" s="17">
        <f>IFERROR(SUMIFS(INDEX('Soruce file '!$A:$Z, 0, MATCH("No Seatbelt", 'Soruce file '!$1:$1, 0)), INDEX('Soruce file '!$A:$Z, 0, MATCH("Date", 'Soruce file '!$1:$1, 0)), "&gt;="&amp;$B$1, INDEX('Soruce file '!$A:$Z, 0, MATCH("Date", 'Soruce file '!$1:$1, 0)), "&lt;="&amp;EOMONTH($B$1,0), INDEX('Soruce file '!$A:$Z, 0, MATCH("GA*", 'Soruce file '!$1:$1, 0)), $A42), 0)</f>
        <v>1</v>
      </c>
      <c r="D42" s="17">
        <f>IFERROR(SUMIFS(INDEX('Soruce file '!$A:$Z, 0, MATCH("Yawning", 'Soruce file '!$1:$1, 0)), INDEX('Soruce file '!$A:$Z, 0, MATCH("Date", 'Soruce file '!$1:$1, 0)), "&gt;="&amp;$B$1, INDEX('Soruce file '!$A:$Z, 0, MATCH("Date", 'Soruce file '!$1:$1, 0)), "&lt;="&amp;EOMONTH($B$1,0), INDEX('Soruce file '!$A:$Z, 0, MATCH("GA*", 'Soruce file '!$1:$1, 0)), $A42), 0)</f>
        <v>0</v>
      </c>
      <c r="E42" s="17">
        <f>IFERROR(SUMIFS(INDEX('Soruce file '!$A:$Z, 0, MATCH("Fatigue", 'Soruce file '!$1:$1, 0)), INDEX('Soruce file '!$A:$Z, 0, MATCH("Date", 'Soruce file '!$1:$1, 0)), $B$1, INDEX('Soruce file '!$A:$Z, 0, MATCH("GA*", 'Soruce file '!$1:$1, 0)), $A42), 0)</f>
        <v>0</v>
      </c>
      <c r="F42" s="17">
        <f>IFERROR(SUMIFS(INDEX('Soruce file '!$A:$Z, 0, MATCH("Harsh Braking", 'Soruce file '!$1:$1, 0)), INDEX('Soruce file '!$A:$Z, 0, MATCH("Date", 'Soruce file '!$1:$1, 0)), "&gt;="&amp;$B$1, INDEX('Soruce file '!$A:$Z, 0, MATCH("Date", 'Soruce file '!$1:$1, 0)), "&lt;="&amp;EOMONTH($B$1,0), INDEX('Soruce file '!$A:$Z, 0, MATCH("GA*", 'Soruce file '!$1:$1, 0)), $A42), 0)</f>
        <v>0</v>
      </c>
      <c r="G42" s="17">
        <f>IFERROR(SUMIFS(INDEX('Soruce file '!$A:$Z, 0, MATCH("Overspeed", 'Soruce file '!$1:$1, 0)), INDEX('Soruce file '!$A:$Z, 0, MATCH("Date", 'Soruce file '!$1:$1, 0)), $B$1, INDEX('Soruce file '!$A:$Z, 0, MATCH("GA*", 'Soruce file '!$1:$1, 0)), $A42), 0)</f>
        <v>0</v>
      </c>
      <c r="H42" s="17">
        <f>IFERROR(SUMIFS(INDEX('Soruce file '!$A:$Z, 0, MATCH("Sudden Acceleration", 'Soruce file '!$1:$1, 0)), INDEX('Soruce file '!$A:$Z, 0, MATCH("Date", 'Soruce file '!$1:$1, 0)), "&gt;="&amp;$B$1, INDEX('Soruce file '!$A:$Z, 0, MATCH("Date", 'Soruce file '!$1:$1, 0)), "&lt;="&amp;EOMONTH($B$1,0), INDEX('Soruce file '!$A:$Z, 0, MATCH("GA*", 'Soruce file '!$1:$1, 0)), $A42), 0)</f>
        <v>0</v>
      </c>
      <c r="I42" s="17">
        <f>IFERROR(SUMIFS(INDEX('Soruce file '!$A:$Z, 0, MATCH("Camera Anomaly", 'Soruce file '!$1:$1, 0)), INDEX('Soruce file '!$A:$Z, 0, MATCH("Date", 'Soruce file '!$1:$1, 0)), "&gt;="&amp;$B$1, INDEX('Soruce file '!$A:$Z, 0, MATCH("Date", 'Soruce file '!$1:$1, 0)), "&lt;="&amp;EOMONTH($B$1,0), INDEX('Soruce file '!$A:$Z, 0, MATCH("GA*", 'Soruce file '!$1:$1, 0)), $A42), 0)</f>
        <v>0</v>
      </c>
      <c r="J42" s="17">
        <f>IFERROR(SUMIFS(INDEX('Soruce file '!$A:$Z, 0, MATCH("CD", 'Soruce file '!$1:$1, 0)), INDEX('Soruce file '!$A:$Z, 0, MATCH("Date", 'Soruce file '!$1:$1, 0)), "&gt;="&amp;$B$1, INDEX('Soruce file '!$A:$Z, 0, MATCH("Date", 'Soruce file '!$1:$1, 0)), "&lt;="&amp;EOMONTH($B$1,0), INDEX('Soruce file '!$A:$Z, 0, MATCH("GA*", 'Soruce file '!$1:$1, 0)), $A42), 0)</f>
        <v>0</v>
      </c>
      <c r="K42" s="17">
        <f>IFERROR(SUMIFS(INDEX('Soruce file '!$A:$Z, 0, MATCH("Night Driving", 'Soruce file '!$1:$1, 0)), INDEX('Soruce file '!$A:$Z, 0, MATCH("Date", 'Soruce file '!$1:$1, 0)), "&gt;="&amp;$B$1, INDEX('Soruce file '!$A:$Z, 0, MATCH("Date", 'Soruce file '!$1:$1, 0)), "&lt;="&amp;EOMONTH($B$1,0), INDEX('Soruce file '!$A:$Z, 0, MATCH("GA*", 'Soruce file '!$1:$1, 0)), $A42), 0)</f>
        <v>0</v>
      </c>
      <c r="L42" s="17">
        <f t="shared" si="2"/>
        <v>17</v>
      </c>
      <c r="N42" s="2"/>
    </row>
    <row r="43" spans="1:14">
      <c r="A43" s="8" t="s">
        <v>29</v>
      </c>
      <c r="B43" s="58">
        <f>IFERROR(SUMIFS(INDEX('Soruce file '!$A:$Z, 0, MATCH("Mobile Usage", 'Soruce file '!$1:$1, 0)), INDEX('Soruce file '!$A:$Z, 0, MATCH("Date", 'Soruce file '!$1:$1, 0)), "&gt;="&amp;$B$1, INDEX('Soruce file '!$A:$Z, 0, MATCH("Date", 'Soruce file '!$1:$1, 0)), "&lt;="&amp;EOMONTH($B$1,0), INDEX('Soruce file '!$A:$Z, 0, MATCH("GA*", 'Soruce file '!$1:$1, 0)), $A43), 0)</f>
        <v>0</v>
      </c>
      <c r="C43" s="17">
        <f>IFERROR(SUMIFS(INDEX('Soruce file '!$A:$Z, 0, MATCH("No Seatbelt", 'Soruce file '!$1:$1, 0)), INDEX('Soruce file '!$A:$Z, 0, MATCH("Date", 'Soruce file '!$1:$1, 0)), "&gt;="&amp;$B$1, INDEX('Soruce file '!$A:$Z, 0, MATCH("Date", 'Soruce file '!$1:$1, 0)), "&lt;="&amp;EOMONTH($B$1,0), INDEX('Soruce file '!$A:$Z, 0, MATCH("GA*", 'Soruce file '!$1:$1, 0)), $A43), 0)</f>
        <v>1</v>
      </c>
      <c r="D43" s="17">
        <f>IFERROR(SUMIFS(INDEX('Soruce file '!$A:$Z, 0, MATCH("Yawning", 'Soruce file '!$1:$1, 0)), INDEX('Soruce file '!$A:$Z, 0, MATCH("Date", 'Soruce file '!$1:$1, 0)), "&gt;="&amp;$B$1, INDEX('Soruce file '!$A:$Z, 0, MATCH("Date", 'Soruce file '!$1:$1, 0)), "&lt;="&amp;EOMONTH($B$1,0), INDEX('Soruce file '!$A:$Z, 0, MATCH("GA*", 'Soruce file '!$1:$1, 0)), $A43), 0)</f>
        <v>0</v>
      </c>
      <c r="E43" s="17">
        <f>IFERROR(SUMIFS(INDEX('Soruce file '!$A:$Z, 0, MATCH("Fatigue", 'Soruce file '!$1:$1, 0)), INDEX('Soruce file '!$A:$Z, 0, MATCH("Date", 'Soruce file '!$1:$1, 0)), $B$1, INDEX('Soruce file '!$A:$Z, 0, MATCH("GA*", 'Soruce file '!$1:$1, 0)), $A43), 0)</f>
        <v>0</v>
      </c>
      <c r="F43" s="17">
        <f>IFERROR(SUMIFS(INDEX('Soruce file '!$A:$Z, 0, MATCH("Harsh Braking", 'Soruce file '!$1:$1, 0)), INDEX('Soruce file '!$A:$Z, 0, MATCH("Date", 'Soruce file '!$1:$1, 0)), "&gt;="&amp;$B$1, INDEX('Soruce file '!$A:$Z, 0, MATCH("Date", 'Soruce file '!$1:$1, 0)), "&lt;="&amp;EOMONTH($B$1,0), INDEX('Soruce file '!$A:$Z, 0, MATCH("GA*", 'Soruce file '!$1:$1, 0)), $A43), 0)</f>
        <v>0</v>
      </c>
      <c r="G43" s="17">
        <f>IFERROR(SUMIFS(INDEX('Soruce file '!$A:$Z, 0, MATCH("Overspeed", 'Soruce file '!$1:$1, 0)), INDEX('Soruce file '!$A:$Z, 0, MATCH("Date", 'Soruce file '!$1:$1, 0)), $B$1, INDEX('Soruce file '!$A:$Z, 0, MATCH("GA*", 'Soruce file '!$1:$1, 0)), $A43), 0)</f>
        <v>0</v>
      </c>
      <c r="H43" s="17">
        <f>IFERROR(SUMIFS(INDEX('Soruce file '!$A:$Z, 0, MATCH("Sudden Acceleration", 'Soruce file '!$1:$1, 0)), INDEX('Soruce file '!$A:$Z, 0, MATCH("Date", 'Soruce file '!$1:$1, 0)), "&gt;="&amp;$B$1, INDEX('Soruce file '!$A:$Z, 0, MATCH("Date", 'Soruce file '!$1:$1, 0)), "&lt;="&amp;EOMONTH($B$1,0), INDEX('Soruce file '!$A:$Z, 0, MATCH("GA*", 'Soruce file '!$1:$1, 0)), $A43), 0)</f>
        <v>0</v>
      </c>
      <c r="I43" s="17">
        <f>IFERROR(SUMIFS(INDEX('Soruce file '!$A:$Z, 0, MATCH("Camera Anomaly", 'Soruce file '!$1:$1, 0)), INDEX('Soruce file '!$A:$Z, 0, MATCH("Date", 'Soruce file '!$1:$1, 0)), "&gt;="&amp;$B$1, INDEX('Soruce file '!$A:$Z, 0, MATCH("Date", 'Soruce file '!$1:$1, 0)), "&lt;="&amp;EOMONTH($B$1,0), INDEX('Soruce file '!$A:$Z, 0, MATCH("GA*", 'Soruce file '!$1:$1, 0)), $A43), 0)</f>
        <v>0</v>
      </c>
      <c r="J43" s="17">
        <f>IFERROR(SUMIFS(INDEX('Soruce file '!$A:$Z, 0, MATCH("CD", 'Soruce file '!$1:$1, 0)), INDEX('Soruce file '!$A:$Z, 0, MATCH("Date", 'Soruce file '!$1:$1, 0)), "&gt;="&amp;$B$1, INDEX('Soruce file '!$A:$Z, 0, MATCH("Date", 'Soruce file '!$1:$1, 0)), "&lt;="&amp;EOMONTH($B$1,0), INDEX('Soruce file '!$A:$Z, 0, MATCH("GA*", 'Soruce file '!$1:$1, 0)), $A43), 0)</f>
        <v>0</v>
      </c>
      <c r="K43" s="17">
        <f>IFERROR(SUMIFS(INDEX('Soruce file '!$A:$Z, 0, MATCH("Night Driving", 'Soruce file '!$1:$1, 0)), INDEX('Soruce file '!$A:$Z, 0, MATCH("Date", 'Soruce file '!$1:$1, 0)), "&gt;="&amp;$B$1, INDEX('Soruce file '!$A:$Z, 0, MATCH("Date", 'Soruce file '!$1:$1, 0)), "&lt;="&amp;EOMONTH($B$1,0), INDEX('Soruce file '!$A:$Z, 0, MATCH("GA*", 'Soruce file '!$1:$1, 0)), $A43), 0)</f>
        <v>0</v>
      </c>
      <c r="L43" s="17">
        <f t="shared" si="2"/>
        <v>1</v>
      </c>
      <c r="N43" s="2"/>
    </row>
    <row r="44" spans="1:14">
      <c r="A44" s="8" t="s">
        <v>147</v>
      </c>
      <c r="B44" s="58">
        <f>IFERROR(SUMIFS(INDEX('Soruce file '!$A:$Z, 0, MATCH("Mobile Usage", 'Soruce file '!$1:$1, 0)), INDEX('Soruce file '!$A:$Z, 0, MATCH("Date", 'Soruce file '!$1:$1, 0)), "&gt;="&amp;$B$1, INDEX('Soruce file '!$A:$Z, 0, MATCH("Date", 'Soruce file '!$1:$1, 0)), "&lt;="&amp;EOMONTH($B$1,0), INDEX('Soruce file '!$A:$Z, 0, MATCH("GA*", 'Soruce file '!$1:$1, 0)), $A44), 0)</f>
        <v>4</v>
      </c>
      <c r="C44" s="17">
        <f>IFERROR(SUMIFS(INDEX('Soruce file '!$A:$Z, 0, MATCH("No Seatbelt", 'Soruce file '!$1:$1, 0)), INDEX('Soruce file '!$A:$Z, 0, MATCH("Date", 'Soruce file '!$1:$1, 0)), "&gt;="&amp;$B$1, INDEX('Soruce file '!$A:$Z, 0, MATCH("Date", 'Soruce file '!$1:$1, 0)), "&lt;="&amp;EOMONTH($B$1,0), INDEX('Soruce file '!$A:$Z, 0, MATCH("GA*", 'Soruce file '!$1:$1, 0)), $A44), 0)</f>
        <v>0</v>
      </c>
      <c r="D44" s="17">
        <f>IFERROR(SUMIFS(INDEX('Soruce file '!$A:$Z, 0, MATCH("Yawning", 'Soruce file '!$1:$1, 0)), INDEX('Soruce file '!$A:$Z, 0, MATCH("Date", 'Soruce file '!$1:$1, 0)), "&gt;="&amp;$B$1, INDEX('Soruce file '!$A:$Z, 0, MATCH("Date", 'Soruce file '!$1:$1, 0)), "&lt;="&amp;EOMONTH($B$1,0), INDEX('Soruce file '!$A:$Z, 0, MATCH("GA*", 'Soruce file '!$1:$1, 0)), $A44), 0)</f>
        <v>0</v>
      </c>
      <c r="E44" s="17">
        <f>IFERROR(SUMIFS(INDEX('Soruce file '!$A:$Z, 0, MATCH("Fatigue", 'Soruce file '!$1:$1, 0)), INDEX('Soruce file '!$A:$Z, 0, MATCH("Date", 'Soruce file '!$1:$1, 0)), $B$1, INDEX('Soruce file '!$A:$Z, 0, MATCH("GA*", 'Soruce file '!$1:$1, 0)), $A44), 0)</f>
        <v>0</v>
      </c>
      <c r="F44" s="17">
        <f>IFERROR(SUMIFS(INDEX('Soruce file '!$A:$Z, 0, MATCH("Harsh Braking", 'Soruce file '!$1:$1, 0)), INDEX('Soruce file '!$A:$Z, 0, MATCH("Date", 'Soruce file '!$1:$1, 0)), "&gt;="&amp;$B$1, INDEX('Soruce file '!$A:$Z, 0, MATCH("Date", 'Soruce file '!$1:$1, 0)), "&lt;="&amp;EOMONTH($B$1,0), INDEX('Soruce file '!$A:$Z, 0, MATCH("GA*", 'Soruce file '!$1:$1, 0)), $A44), 0)</f>
        <v>0</v>
      </c>
      <c r="G44" s="17">
        <f>IFERROR(SUMIFS(INDEX('Soruce file '!$A:$Z, 0, MATCH("Overspeed", 'Soruce file '!$1:$1, 0)), INDEX('Soruce file '!$A:$Z, 0, MATCH("Date", 'Soruce file '!$1:$1, 0)), $B$1, INDEX('Soruce file '!$A:$Z, 0, MATCH("GA*", 'Soruce file '!$1:$1, 0)), $A44), 0)</f>
        <v>0</v>
      </c>
      <c r="H44" s="17">
        <f>IFERROR(SUMIFS(INDEX('Soruce file '!$A:$Z, 0, MATCH("Sudden Acceleration", 'Soruce file '!$1:$1, 0)), INDEX('Soruce file '!$A:$Z, 0, MATCH("Date", 'Soruce file '!$1:$1, 0)), "&gt;="&amp;$B$1, INDEX('Soruce file '!$A:$Z, 0, MATCH("Date", 'Soruce file '!$1:$1, 0)), "&lt;="&amp;EOMONTH($B$1,0), INDEX('Soruce file '!$A:$Z, 0, MATCH("GA*", 'Soruce file '!$1:$1, 0)), $A44), 0)</f>
        <v>0</v>
      </c>
      <c r="I44" s="17">
        <f>IFERROR(SUMIFS(INDEX('Soruce file '!$A:$Z, 0, MATCH("Camera Anomaly", 'Soruce file '!$1:$1, 0)), INDEX('Soruce file '!$A:$Z, 0, MATCH("Date", 'Soruce file '!$1:$1, 0)), "&gt;="&amp;$B$1, INDEX('Soruce file '!$A:$Z, 0, MATCH("Date", 'Soruce file '!$1:$1, 0)), "&lt;="&amp;EOMONTH($B$1,0), INDEX('Soruce file '!$A:$Z, 0, MATCH("GA*", 'Soruce file '!$1:$1, 0)), $A44), 0)</f>
        <v>0</v>
      </c>
      <c r="J44" s="17">
        <f>IFERROR(SUMIFS(INDEX('Soruce file '!$A:$Z, 0, MATCH("CD", 'Soruce file '!$1:$1, 0)), INDEX('Soruce file '!$A:$Z, 0, MATCH("Date", 'Soruce file '!$1:$1, 0)), "&gt;="&amp;$B$1, INDEX('Soruce file '!$A:$Z, 0, MATCH("Date", 'Soruce file '!$1:$1, 0)), "&lt;="&amp;EOMONTH($B$1,0), INDEX('Soruce file '!$A:$Z, 0, MATCH("GA*", 'Soruce file '!$1:$1, 0)), $A44), 0)</f>
        <v>0</v>
      </c>
      <c r="K44" s="17">
        <f>IFERROR(SUMIFS(INDEX('Soruce file '!$A:$Z, 0, MATCH("Night Driving", 'Soruce file '!$1:$1, 0)), INDEX('Soruce file '!$A:$Z, 0, MATCH("Date", 'Soruce file '!$1:$1, 0)), "&gt;="&amp;$B$1, INDEX('Soruce file '!$A:$Z, 0, MATCH("Date", 'Soruce file '!$1:$1, 0)), "&lt;="&amp;EOMONTH($B$1,0), INDEX('Soruce file '!$A:$Z, 0, MATCH("GA*", 'Soruce file '!$1:$1, 0)), $A44), 0)</f>
        <v>0</v>
      </c>
      <c r="L44" s="17">
        <f t="shared" si="2"/>
        <v>4</v>
      </c>
      <c r="N44" s="2"/>
    </row>
    <row r="45" spans="1:14">
      <c r="A45" s="8" t="s">
        <v>88</v>
      </c>
      <c r="B45" s="58">
        <f>IFERROR(SUMIFS(INDEX('Soruce file '!$A:$Z, 0, MATCH("Mobile Usage", 'Soruce file '!$1:$1, 0)), INDEX('Soruce file '!$A:$Z, 0, MATCH("Date", 'Soruce file '!$1:$1, 0)), "&gt;="&amp;$B$1, INDEX('Soruce file '!$A:$Z, 0, MATCH("Date", 'Soruce file '!$1:$1, 0)), "&lt;="&amp;EOMONTH($B$1,0), INDEX('Soruce file '!$A:$Z, 0, MATCH("GA*", 'Soruce file '!$1:$1, 0)), $A45), 0)</f>
        <v>0</v>
      </c>
      <c r="C45" s="17">
        <f>IFERROR(SUMIFS(INDEX('Soruce file '!$A:$Z, 0, MATCH("No Seatbelt", 'Soruce file '!$1:$1, 0)), INDEX('Soruce file '!$A:$Z, 0, MATCH("Date", 'Soruce file '!$1:$1, 0)), "&gt;="&amp;$B$1, INDEX('Soruce file '!$A:$Z, 0, MATCH("Date", 'Soruce file '!$1:$1, 0)), "&lt;="&amp;EOMONTH($B$1,0), INDEX('Soruce file '!$A:$Z, 0, MATCH("GA*", 'Soruce file '!$1:$1, 0)), $A45), 0)</f>
        <v>1</v>
      </c>
      <c r="D45" s="17">
        <f>IFERROR(SUMIFS(INDEX('Soruce file '!$A:$Z, 0, MATCH("Yawning", 'Soruce file '!$1:$1, 0)), INDEX('Soruce file '!$A:$Z, 0, MATCH("Date", 'Soruce file '!$1:$1, 0)), "&gt;="&amp;$B$1, INDEX('Soruce file '!$A:$Z, 0, MATCH("Date", 'Soruce file '!$1:$1, 0)), "&lt;="&amp;EOMONTH($B$1,0), INDEX('Soruce file '!$A:$Z, 0, MATCH("GA*", 'Soruce file '!$1:$1, 0)), $A45), 0)</f>
        <v>0</v>
      </c>
      <c r="E45" s="17">
        <f>IFERROR(SUMIFS(INDEX('Soruce file '!$A:$Z, 0, MATCH("Fatigue", 'Soruce file '!$1:$1, 0)), INDEX('Soruce file '!$A:$Z, 0, MATCH("Date", 'Soruce file '!$1:$1, 0)), $B$1, INDEX('Soruce file '!$A:$Z, 0, MATCH("GA*", 'Soruce file '!$1:$1, 0)), $A45), 0)</f>
        <v>0</v>
      </c>
      <c r="F45" s="17">
        <f>IFERROR(SUMIFS(INDEX('Soruce file '!$A:$Z, 0, MATCH("Harsh Braking", 'Soruce file '!$1:$1, 0)), INDEX('Soruce file '!$A:$Z, 0, MATCH("Date", 'Soruce file '!$1:$1, 0)), "&gt;="&amp;$B$1, INDEX('Soruce file '!$A:$Z, 0, MATCH("Date", 'Soruce file '!$1:$1, 0)), "&lt;="&amp;EOMONTH($B$1,0), INDEX('Soruce file '!$A:$Z, 0, MATCH("GA*", 'Soruce file '!$1:$1, 0)), $A45), 0)</f>
        <v>0</v>
      </c>
      <c r="G45" s="17">
        <f>IFERROR(SUMIFS(INDEX('Soruce file '!$A:$Z, 0, MATCH("Overspeed", 'Soruce file '!$1:$1, 0)), INDEX('Soruce file '!$A:$Z, 0, MATCH("Date", 'Soruce file '!$1:$1, 0)), $B$1, INDEX('Soruce file '!$A:$Z, 0, MATCH("GA*", 'Soruce file '!$1:$1, 0)), $A45), 0)</f>
        <v>0</v>
      </c>
      <c r="H45" s="17">
        <f>IFERROR(SUMIFS(INDEX('Soruce file '!$A:$Z, 0, MATCH("Sudden Acceleration", 'Soruce file '!$1:$1, 0)), INDEX('Soruce file '!$A:$Z, 0, MATCH("Date", 'Soruce file '!$1:$1, 0)), "&gt;="&amp;$B$1, INDEX('Soruce file '!$A:$Z, 0, MATCH("Date", 'Soruce file '!$1:$1, 0)), "&lt;="&amp;EOMONTH($B$1,0), INDEX('Soruce file '!$A:$Z, 0, MATCH("GA*", 'Soruce file '!$1:$1, 0)), $A45), 0)</f>
        <v>0</v>
      </c>
      <c r="I45" s="17">
        <f>IFERROR(SUMIFS(INDEX('Soruce file '!$A:$Z, 0, MATCH("Camera Anomaly", 'Soruce file '!$1:$1, 0)), INDEX('Soruce file '!$A:$Z, 0, MATCH("Date", 'Soruce file '!$1:$1, 0)), "&gt;="&amp;$B$1, INDEX('Soruce file '!$A:$Z, 0, MATCH("Date", 'Soruce file '!$1:$1, 0)), "&lt;="&amp;EOMONTH($B$1,0), INDEX('Soruce file '!$A:$Z, 0, MATCH("GA*", 'Soruce file '!$1:$1, 0)), $A45), 0)</f>
        <v>0</v>
      </c>
      <c r="J45" s="17">
        <f>IFERROR(SUMIFS(INDEX('Soruce file '!$A:$Z, 0, MATCH("CD", 'Soruce file '!$1:$1, 0)), INDEX('Soruce file '!$A:$Z, 0, MATCH("Date", 'Soruce file '!$1:$1, 0)), "&gt;="&amp;$B$1, INDEX('Soruce file '!$A:$Z, 0, MATCH("Date", 'Soruce file '!$1:$1, 0)), "&lt;="&amp;EOMONTH($B$1,0), INDEX('Soruce file '!$A:$Z, 0, MATCH("GA*", 'Soruce file '!$1:$1, 0)), $A45), 0)</f>
        <v>0</v>
      </c>
      <c r="K45" s="17">
        <f>IFERROR(SUMIFS(INDEX('Soruce file '!$A:$Z, 0, MATCH("Night Driving", 'Soruce file '!$1:$1, 0)), INDEX('Soruce file '!$A:$Z, 0, MATCH("Date", 'Soruce file '!$1:$1, 0)), "&gt;="&amp;$B$1, INDEX('Soruce file '!$A:$Z, 0, MATCH("Date", 'Soruce file '!$1:$1, 0)), "&lt;="&amp;EOMONTH($B$1,0), INDEX('Soruce file '!$A:$Z, 0, MATCH("GA*", 'Soruce file '!$1:$1, 0)), $A45), 0)</f>
        <v>0</v>
      </c>
      <c r="L45" s="17">
        <f t="shared" si="2"/>
        <v>1</v>
      </c>
      <c r="N45" s="2"/>
    </row>
    <row r="46" spans="1:14">
      <c r="A46" s="8" t="s">
        <v>97</v>
      </c>
      <c r="B46" s="58">
        <f>IFERROR(SUMIFS(INDEX('Soruce file '!$A:$Z, 0, MATCH("Mobile Usage", 'Soruce file '!$1:$1, 0)), INDEX('Soruce file '!$A:$Z, 0, MATCH("Date", 'Soruce file '!$1:$1, 0)), "&gt;="&amp;$B$1, INDEX('Soruce file '!$A:$Z, 0, MATCH("Date", 'Soruce file '!$1:$1, 0)), "&lt;="&amp;EOMONTH($B$1,0), INDEX('Soruce file '!$A:$Z, 0, MATCH("GA*", 'Soruce file '!$1:$1, 0)), $A46), 0)</f>
        <v>0</v>
      </c>
      <c r="C46" s="17">
        <f>IFERROR(SUMIFS(INDEX('Soruce file '!$A:$Z, 0, MATCH("No Seatbelt", 'Soruce file '!$1:$1, 0)), INDEX('Soruce file '!$A:$Z, 0, MATCH("Date", 'Soruce file '!$1:$1, 0)), "&gt;="&amp;$B$1, INDEX('Soruce file '!$A:$Z, 0, MATCH("Date", 'Soruce file '!$1:$1, 0)), "&lt;="&amp;EOMONTH($B$1,0), INDEX('Soruce file '!$A:$Z, 0, MATCH("GA*", 'Soruce file '!$1:$1, 0)), $A46), 0)</f>
        <v>0</v>
      </c>
      <c r="D46" s="17">
        <f>IFERROR(SUMIFS(INDEX('Soruce file '!$A:$Z, 0, MATCH("Yawning", 'Soruce file '!$1:$1, 0)), INDEX('Soruce file '!$A:$Z, 0, MATCH("Date", 'Soruce file '!$1:$1, 0)), "&gt;="&amp;$B$1, INDEX('Soruce file '!$A:$Z, 0, MATCH("Date", 'Soruce file '!$1:$1, 0)), "&lt;="&amp;EOMONTH($B$1,0), INDEX('Soruce file '!$A:$Z, 0, MATCH("GA*", 'Soruce file '!$1:$1, 0)), $A46), 0)</f>
        <v>0</v>
      </c>
      <c r="E46" s="17">
        <f>IFERROR(SUMIFS(INDEX('Soruce file '!$A:$Z, 0, MATCH("Fatigue", 'Soruce file '!$1:$1, 0)), INDEX('Soruce file '!$A:$Z, 0, MATCH("Date", 'Soruce file '!$1:$1, 0)), $B$1, INDEX('Soruce file '!$A:$Z, 0, MATCH("GA*", 'Soruce file '!$1:$1, 0)), $A46), 0)</f>
        <v>0</v>
      </c>
      <c r="F46" s="17">
        <f>IFERROR(SUMIFS(INDEX('Soruce file '!$A:$Z, 0, MATCH("Harsh Braking", 'Soruce file '!$1:$1, 0)), INDEX('Soruce file '!$A:$Z, 0, MATCH("Date", 'Soruce file '!$1:$1, 0)), "&gt;="&amp;$B$1, INDEX('Soruce file '!$A:$Z, 0, MATCH("Date", 'Soruce file '!$1:$1, 0)), "&lt;="&amp;EOMONTH($B$1,0), INDEX('Soruce file '!$A:$Z, 0, MATCH("GA*", 'Soruce file '!$1:$1, 0)), $A46), 0)</f>
        <v>0</v>
      </c>
      <c r="G46" s="17">
        <f>IFERROR(SUMIFS(INDEX('Soruce file '!$A:$Z, 0, MATCH("Overspeed", 'Soruce file '!$1:$1, 0)), INDEX('Soruce file '!$A:$Z, 0, MATCH("Date", 'Soruce file '!$1:$1, 0)), $B$1, INDEX('Soruce file '!$A:$Z, 0, MATCH("GA*", 'Soruce file '!$1:$1, 0)), $A46), 0)</f>
        <v>0</v>
      </c>
      <c r="H46" s="17">
        <f>IFERROR(SUMIFS(INDEX('Soruce file '!$A:$Z, 0, MATCH("Sudden Acceleration", 'Soruce file '!$1:$1, 0)), INDEX('Soruce file '!$A:$Z, 0, MATCH("Date", 'Soruce file '!$1:$1, 0)), "&gt;="&amp;$B$1, INDEX('Soruce file '!$A:$Z, 0, MATCH("Date", 'Soruce file '!$1:$1, 0)), "&lt;="&amp;EOMONTH($B$1,0), INDEX('Soruce file '!$A:$Z, 0, MATCH("GA*", 'Soruce file '!$1:$1, 0)), $A46), 0)</f>
        <v>0</v>
      </c>
      <c r="I46" s="17">
        <f>IFERROR(SUMIFS(INDEX('Soruce file '!$A:$Z, 0, MATCH("Camera Anomaly", 'Soruce file '!$1:$1, 0)), INDEX('Soruce file '!$A:$Z, 0, MATCH("Date", 'Soruce file '!$1:$1, 0)), "&gt;="&amp;$B$1, INDEX('Soruce file '!$A:$Z, 0, MATCH("Date", 'Soruce file '!$1:$1, 0)), "&lt;="&amp;EOMONTH($B$1,0), INDEX('Soruce file '!$A:$Z, 0, MATCH("GA*", 'Soruce file '!$1:$1, 0)), $A46), 0)</f>
        <v>1</v>
      </c>
      <c r="J46" s="17">
        <f>IFERROR(SUMIFS(INDEX('Soruce file '!$A:$Z, 0, MATCH("CD", 'Soruce file '!$1:$1, 0)), INDEX('Soruce file '!$A:$Z, 0, MATCH("Date", 'Soruce file '!$1:$1, 0)), "&gt;="&amp;$B$1, INDEX('Soruce file '!$A:$Z, 0, MATCH("Date", 'Soruce file '!$1:$1, 0)), "&lt;="&amp;EOMONTH($B$1,0), INDEX('Soruce file '!$A:$Z, 0, MATCH("GA*", 'Soruce file '!$1:$1, 0)), $A46), 0)</f>
        <v>0</v>
      </c>
      <c r="K46" s="17">
        <f>IFERROR(SUMIFS(INDEX('Soruce file '!$A:$Z, 0, MATCH("Night Driving", 'Soruce file '!$1:$1, 0)), INDEX('Soruce file '!$A:$Z, 0, MATCH("Date", 'Soruce file '!$1:$1, 0)), "&gt;="&amp;$B$1, INDEX('Soruce file '!$A:$Z, 0, MATCH("Date", 'Soruce file '!$1:$1, 0)), "&lt;="&amp;EOMONTH($B$1,0), INDEX('Soruce file '!$A:$Z, 0, MATCH("GA*", 'Soruce file '!$1:$1, 0)), $A46), 0)</f>
        <v>0</v>
      </c>
      <c r="L46" s="17">
        <f t="shared" si="2"/>
        <v>1</v>
      </c>
      <c r="N46" s="2"/>
    </row>
    <row r="47" spans="1:14">
      <c r="A47" s="8" t="s">
        <v>582</v>
      </c>
      <c r="B47" s="58">
        <f>IFERROR(SUMIFS(INDEX('Soruce file '!$A:$Z, 0, MATCH("Mobile Usage", 'Soruce file '!$1:$1, 0)), INDEX('Soruce file '!$A:$Z, 0, MATCH("Date", 'Soruce file '!$1:$1, 0)), "&gt;="&amp;$B$1, INDEX('Soruce file '!$A:$Z, 0, MATCH("Date", 'Soruce file '!$1:$1, 0)), "&lt;="&amp;EOMONTH($B$1,0), INDEX('Soruce file '!$A:$Z, 0, MATCH("GA*", 'Soruce file '!$1:$1, 0)), $A47), 0)</f>
        <v>0</v>
      </c>
      <c r="C47" s="17">
        <f>IFERROR(SUMIFS(INDEX('Soruce file '!$A:$Z, 0, MATCH("No Seatbelt", 'Soruce file '!$1:$1, 0)), INDEX('Soruce file '!$A:$Z, 0, MATCH("Date", 'Soruce file '!$1:$1, 0)), "&gt;="&amp;$B$1, INDEX('Soruce file '!$A:$Z, 0, MATCH("Date", 'Soruce file '!$1:$1, 0)), "&lt;="&amp;EOMONTH($B$1,0), INDEX('Soruce file '!$A:$Z, 0, MATCH("GA*", 'Soruce file '!$1:$1, 0)), $A47), 0)</f>
        <v>0</v>
      </c>
      <c r="D47" s="17">
        <f>IFERROR(SUMIFS(INDEX('Soruce file '!$A:$Z, 0, MATCH("Yawning", 'Soruce file '!$1:$1, 0)), INDEX('Soruce file '!$A:$Z, 0, MATCH("Date", 'Soruce file '!$1:$1, 0)), "&gt;="&amp;$B$1, INDEX('Soruce file '!$A:$Z, 0, MATCH("Date", 'Soruce file '!$1:$1, 0)), "&lt;="&amp;EOMONTH($B$1,0), INDEX('Soruce file '!$A:$Z, 0, MATCH("GA*", 'Soruce file '!$1:$1, 0)), $A47), 0)</f>
        <v>0</v>
      </c>
      <c r="E47" s="17">
        <f>IFERROR(SUMIFS(INDEX('Soruce file '!$A:$Z, 0, MATCH("Fatigue", 'Soruce file '!$1:$1, 0)), INDEX('Soruce file '!$A:$Z, 0, MATCH("Date", 'Soruce file '!$1:$1, 0)), $B$1, INDEX('Soruce file '!$A:$Z, 0, MATCH("GA*", 'Soruce file '!$1:$1, 0)), $A47), 0)</f>
        <v>0</v>
      </c>
      <c r="F47" s="17">
        <f>IFERROR(SUMIFS(INDEX('Soruce file '!$A:$Z, 0, MATCH("Harsh Braking", 'Soruce file '!$1:$1, 0)), INDEX('Soruce file '!$A:$Z, 0, MATCH("Date", 'Soruce file '!$1:$1, 0)), "&gt;="&amp;$B$1, INDEX('Soruce file '!$A:$Z, 0, MATCH("Date", 'Soruce file '!$1:$1, 0)), "&lt;="&amp;EOMONTH($B$1,0), INDEX('Soruce file '!$A:$Z, 0, MATCH("GA*", 'Soruce file '!$1:$1, 0)), $A47), 0)</f>
        <v>0</v>
      </c>
      <c r="G47" s="17">
        <f>IFERROR(SUMIFS(INDEX('Soruce file '!$A:$Z, 0, MATCH("Overspeed", 'Soruce file '!$1:$1, 0)), INDEX('Soruce file '!$A:$Z, 0, MATCH("Date", 'Soruce file '!$1:$1, 0)), $B$1, INDEX('Soruce file '!$A:$Z, 0, MATCH("GA*", 'Soruce file '!$1:$1, 0)), $A47), 0)</f>
        <v>0</v>
      </c>
      <c r="H47" s="17">
        <f>IFERROR(SUMIFS(INDEX('Soruce file '!$A:$Z, 0, MATCH("Sudden Acceleration", 'Soruce file '!$1:$1, 0)), INDEX('Soruce file '!$A:$Z, 0, MATCH("Date", 'Soruce file '!$1:$1, 0)), "&gt;="&amp;$B$1, INDEX('Soruce file '!$A:$Z, 0, MATCH("Date", 'Soruce file '!$1:$1, 0)), "&lt;="&amp;EOMONTH($B$1,0), INDEX('Soruce file '!$A:$Z, 0, MATCH("GA*", 'Soruce file '!$1:$1, 0)), $A47), 0)</f>
        <v>0</v>
      </c>
      <c r="I47" s="17">
        <f>IFERROR(SUMIFS(INDEX('Soruce file '!$A:$Z, 0, MATCH("Camera Anomaly", 'Soruce file '!$1:$1, 0)), INDEX('Soruce file '!$A:$Z, 0, MATCH("Date", 'Soruce file '!$1:$1, 0)), "&gt;="&amp;$B$1, INDEX('Soruce file '!$A:$Z, 0, MATCH("Date", 'Soruce file '!$1:$1, 0)), "&lt;="&amp;EOMONTH($B$1,0), INDEX('Soruce file '!$A:$Z, 0, MATCH("GA*", 'Soruce file '!$1:$1, 0)), $A47), 0)</f>
        <v>0</v>
      </c>
      <c r="J47" s="17">
        <f>IFERROR(SUMIFS(INDEX('Soruce file '!$A:$Z, 0, MATCH("CD", 'Soruce file '!$1:$1, 0)), INDEX('Soruce file '!$A:$Z, 0, MATCH("Date", 'Soruce file '!$1:$1, 0)), "&gt;="&amp;$B$1, INDEX('Soruce file '!$A:$Z, 0, MATCH("Date", 'Soruce file '!$1:$1, 0)), "&lt;="&amp;EOMONTH($B$1,0), INDEX('Soruce file '!$A:$Z, 0, MATCH("GA*", 'Soruce file '!$1:$1, 0)), $A47), 0)</f>
        <v>0</v>
      </c>
      <c r="K47" s="17">
        <f>IFERROR(SUMIFS(INDEX('Soruce file '!$A:$Z, 0, MATCH("Night Driving", 'Soruce file '!$1:$1, 0)), INDEX('Soruce file '!$A:$Z, 0, MATCH("Date", 'Soruce file '!$1:$1, 0)), "&gt;="&amp;$B$1, INDEX('Soruce file '!$A:$Z, 0, MATCH("Date", 'Soruce file '!$1:$1, 0)), "&lt;="&amp;EOMONTH($B$1,0), INDEX('Soruce file '!$A:$Z, 0, MATCH("GA*", 'Soruce file '!$1:$1, 0)), $A47), 0)</f>
        <v>0</v>
      </c>
      <c r="L47" s="17">
        <f t="shared" si="2"/>
        <v>0</v>
      </c>
      <c r="N47" s="2"/>
    </row>
    <row r="48" spans="1:14">
      <c r="A48" s="8" t="s">
        <v>32</v>
      </c>
      <c r="B48" s="58">
        <f>IFERROR(SUMIFS(INDEX('Soruce file '!$A:$Z, 0, MATCH("Mobile Usage", 'Soruce file '!$1:$1, 0)), INDEX('Soruce file '!$A:$Z, 0, MATCH("Date", 'Soruce file '!$1:$1, 0)), "&gt;="&amp;$B$1, INDEX('Soruce file '!$A:$Z, 0, MATCH("Date", 'Soruce file '!$1:$1, 0)), "&lt;="&amp;EOMONTH($B$1,0), INDEX('Soruce file '!$A:$Z, 0, MATCH("GA*", 'Soruce file '!$1:$1, 0)), $A48), 0)</f>
        <v>1</v>
      </c>
      <c r="C48" s="17">
        <f>IFERROR(SUMIFS(INDEX('Soruce file '!$A:$Z, 0, MATCH("No Seatbelt", 'Soruce file '!$1:$1, 0)), INDEX('Soruce file '!$A:$Z, 0, MATCH("Date", 'Soruce file '!$1:$1, 0)), "&gt;="&amp;$B$1, INDEX('Soruce file '!$A:$Z, 0, MATCH("Date", 'Soruce file '!$1:$1, 0)), "&lt;="&amp;EOMONTH($B$1,0), INDEX('Soruce file '!$A:$Z, 0, MATCH("GA*", 'Soruce file '!$1:$1, 0)), $A48), 0)</f>
        <v>0</v>
      </c>
      <c r="D48" s="17">
        <f>IFERROR(SUMIFS(INDEX('Soruce file '!$A:$Z, 0, MATCH("Yawning", 'Soruce file '!$1:$1, 0)), INDEX('Soruce file '!$A:$Z, 0, MATCH("Date", 'Soruce file '!$1:$1, 0)), "&gt;="&amp;$B$1, INDEX('Soruce file '!$A:$Z, 0, MATCH("Date", 'Soruce file '!$1:$1, 0)), "&lt;="&amp;EOMONTH($B$1,0), INDEX('Soruce file '!$A:$Z, 0, MATCH("GA*", 'Soruce file '!$1:$1, 0)), $A48), 0)</f>
        <v>0</v>
      </c>
      <c r="E48" s="17">
        <f>IFERROR(SUMIFS(INDEX('Soruce file '!$A:$Z, 0, MATCH("Fatigue", 'Soruce file '!$1:$1, 0)), INDEX('Soruce file '!$A:$Z, 0, MATCH("Date", 'Soruce file '!$1:$1, 0)), $B$1, INDEX('Soruce file '!$A:$Z, 0, MATCH("GA*", 'Soruce file '!$1:$1, 0)), $A48), 0)</f>
        <v>0</v>
      </c>
      <c r="F48" s="17">
        <f>IFERROR(SUMIFS(INDEX('Soruce file '!$A:$Z, 0, MATCH("Harsh Braking", 'Soruce file '!$1:$1, 0)), INDEX('Soruce file '!$A:$Z, 0, MATCH("Date", 'Soruce file '!$1:$1, 0)), "&gt;="&amp;$B$1, INDEX('Soruce file '!$A:$Z, 0, MATCH("Date", 'Soruce file '!$1:$1, 0)), "&lt;="&amp;EOMONTH($B$1,0), INDEX('Soruce file '!$A:$Z, 0, MATCH("GA*", 'Soruce file '!$1:$1, 0)), $A48), 0)</f>
        <v>0</v>
      </c>
      <c r="G48" s="17">
        <f>IFERROR(SUMIFS(INDEX('Soruce file '!$A:$Z, 0, MATCH("Overspeed", 'Soruce file '!$1:$1, 0)), INDEX('Soruce file '!$A:$Z, 0, MATCH("Date", 'Soruce file '!$1:$1, 0)), $B$1, INDEX('Soruce file '!$A:$Z, 0, MATCH("GA*", 'Soruce file '!$1:$1, 0)), $A48), 0)</f>
        <v>0</v>
      </c>
      <c r="H48" s="17">
        <f>IFERROR(SUMIFS(INDEX('Soruce file '!$A:$Z, 0, MATCH("Sudden Acceleration", 'Soruce file '!$1:$1, 0)), INDEX('Soruce file '!$A:$Z, 0, MATCH("Date", 'Soruce file '!$1:$1, 0)), "&gt;="&amp;$B$1, INDEX('Soruce file '!$A:$Z, 0, MATCH("Date", 'Soruce file '!$1:$1, 0)), "&lt;="&amp;EOMONTH($B$1,0), INDEX('Soruce file '!$A:$Z, 0, MATCH("GA*", 'Soruce file '!$1:$1, 0)), $A48), 0)</f>
        <v>0</v>
      </c>
      <c r="I48" s="17">
        <f>IFERROR(SUMIFS(INDEX('Soruce file '!$A:$Z, 0, MATCH("Camera Anomaly", 'Soruce file '!$1:$1, 0)), INDEX('Soruce file '!$A:$Z, 0, MATCH("Date", 'Soruce file '!$1:$1, 0)), "&gt;="&amp;$B$1, INDEX('Soruce file '!$A:$Z, 0, MATCH("Date", 'Soruce file '!$1:$1, 0)), "&lt;="&amp;EOMONTH($B$1,0), INDEX('Soruce file '!$A:$Z, 0, MATCH("GA*", 'Soruce file '!$1:$1, 0)), $A48), 0)</f>
        <v>0</v>
      </c>
      <c r="J48" s="17">
        <f>IFERROR(SUMIFS(INDEX('Soruce file '!$A:$Z, 0, MATCH("CD", 'Soruce file '!$1:$1, 0)), INDEX('Soruce file '!$A:$Z, 0, MATCH("Date", 'Soruce file '!$1:$1, 0)), "&gt;="&amp;$B$1, INDEX('Soruce file '!$A:$Z, 0, MATCH("Date", 'Soruce file '!$1:$1, 0)), "&lt;="&amp;EOMONTH($B$1,0), INDEX('Soruce file '!$A:$Z, 0, MATCH("GA*", 'Soruce file '!$1:$1, 0)), $A48), 0)</f>
        <v>0</v>
      </c>
      <c r="K48" s="17">
        <f>IFERROR(SUMIFS(INDEX('Soruce file '!$A:$Z, 0, MATCH("Night Driving", 'Soruce file '!$1:$1, 0)), INDEX('Soruce file '!$A:$Z, 0, MATCH("Date", 'Soruce file '!$1:$1, 0)), "&gt;="&amp;$B$1, INDEX('Soruce file '!$A:$Z, 0, MATCH("Date", 'Soruce file '!$1:$1, 0)), "&lt;="&amp;EOMONTH($B$1,0), INDEX('Soruce file '!$A:$Z, 0, MATCH("GA*", 'Soruce file '!$1:$1, 0)), $A48), 0)</f>
        <v>0</v>
      </c>
      <c r="L48" s="17">
        <f t="shared" si="2"/>
        <v>1</v>
      </c>
      <c r="N48" s="2"/>
    </row>
    <row r="49" spans="1:14">
      <c r="A49" s="8" t="s">
        <v>47</v>
      </c>
      <c r="B49" s="58">
        <f>IFERROR(SUMIFS(INDEX('Soruce file '!$A:$Z, 0, MATCH("Mobile Usage", 'Soruce file '!$1:$1, 0)), INDEX('Soruce file '!$A:$Z, 0, MATCH("Date", 'Soruce file '!$1:$1, 0)), "&gt;="&amp;$B$1, INDEX('Soruce file '!$A:$Z, 0, MATCH("Date", 'Soruce file '!$1:$1, 0)), "&lt;="&amp;EOMONTH($B$1,0), INDEX('Soruce file '!$A:$Z, 0, MATCH("GA*", 'Soruce file '!$1:$1, 0)), $A49), 0)</f>
        <v>0</v>
      </c>
      <c r="C49" s="17">
        <f>IFERROR(SUMIFS(INDEX('Soruce file '!$A:$Z, 0, MATCH("No Seatbelt", 'Soruce file '!$1:$1, 0)), INDEX('Soruce file '!$A:$Z, 0, MATCH("Date", 'Soruce file '!$1:$1, 0)), "&gt;="&amp;$B$1, INDEX('Soruce file '!$A:$Z, 0, MATCH("Date", 'Soruce file '!$1:$1, 0)), "&lt;="&amp;EOMONTH($B$1,0), INDEX('Soruce file '!$A:$Z, 0, MATCH("GA*", 'Soruce file '!$1:$1, 0)), $A49), 0)</f>
        <v>0</v>
      </c>
      <c r="D49" s="17">
        <f>IFERROR(SUMIFS(INDEX('Soruce file '!$A:$Z, 0, MATCH("Yawning", 'Soruce file '!$1:$1, 0)), INDEX('Soruce file '!$A:$Z, 0, MATCH("Date", 'Soruce file '!$1:$1, 0)), "&gt;="&amp;$B$1, INDEX('Soruce file '!$A:$Z, 0, MATCH("Date", 'Soruce file '!$1:$1, 0)), "&lt;="&amp;EOMONTH($B$1,0), INDEX('Soruce file '!$A:$Z, 0, MATCH("GA*", 'Soruce file '!$1:$1, 0)), $A49), 0)</f>
        <v>0</v>
      </c>
      <c r="E49" s="17">
        <f>IFERROR(SUMIFS(INDEX('Soruce file '!$A:$Z, 0, MATCH("Fatigue", 'Soruce file '!$1:$1, 0)), INDEX('Soruce file '!$A:$Z, 0, MATCH("Date", 'Soruce file '!$1:$1, 0)), $B$1, INDEX('Soruce file '!$A:$Z, 0, MATCH("GA*", 'Soruce file '!$1:$1, 0)), $A49), 0)</f>
        <v>0</v>
      </c>
      <c r="F49" s="17">
        <f>IFERROR(SUMIFS(INDEX('Soruce file '!$A:$Z, 0, MATCH("Harsh Braking", 'Soruce file '!$1:$1, 0)), INDEX('Soruce file '!$A:$Z, 0, MATCH("Date", 'Soruce file '!$1:$1, 0)), "&gt;="&amp;$B$1, INDEX('Soruce file '!$A:$Z, 0, MATCH("Date", 'Soruce file '!$1:$1, 0)), "&lt;="&amp;EOMONTH($B$1,0), INDEX('Soruce file '!$A:$Z, 0, MATCH("GA*", 'Soruce file '!$1:$1, 0)), $A49), 0)</f>
        <v>0</v>
      </c>
      <c r="G49" s="17">
        <f>IFERROR(SUMIFS(INDEX('Soruce file '!$A:$Z, 0, MATCH("Overspeed", 'Soruce file '!$1:$1, 0)), INDEX('Soruce file '!$A:$Z, 0, MATCH("Date", 'Soruce file '!$1:$1, 0)), $B$1, INDEX('Soruce file '!$A:$Z, 0, MATCH("GA*", 'Soruce file '!$1:$1, 0)), $A49), 0)</f>
        <v>0</v>
      </c>
      <c r="H49" s="17">
        <f>IFERROR(SUMIFS(INDEX('Soruce file '!$A:$Z, 0, MATCH("Sudden Acceleration", 'Soruce file '!$1:$1, 0)), INDEX('Soruce file '!$A:$Z, 0, MATCH("Date", 'Soruce file '!$1:$1, 0)), "&gt;="&amp;$B$1, INDEX('Soruce file '!$A:$Z, 0, MATCH("Date", 'Soruce file '!$1:$1, 0)), "&lt;="&amp;EOMONTH($B$1,0), INDEX('Soruce file '!$A:$Z, 0, MATCH("GA*", 'Soruce file '!$1:$1, 0)), $A49), 0)</f>
        <v>0</v>
      </c>
      <c r="I49" s="17">
        <f>IFERROR(SUMIFS(INDEX('Soruce file '!$A:$Z, 0, MATCH("Camera Anomaly", 'Soruce file '!$1:$1, 0)), INDEX('Soruce file '!$A:$Z, 0, MATCH("Date", 'Soruce file '!$1:$1, 0)), "&gt;="&amp;$B$1, INDEX('Soruce file '!$A:$Z, 0, MATCH("Date", 'Soruce file '!$1:$1, 0)), "&lt;="&amp;EOMONTH($B$1,0), INDEX('Soruce file '!$A:$Z, 0, MATCH("GA*", 'Soruce file '!$1:$1, 0)), $A49), 0)</f>
        <v>0</v>
      </c>
      <c r="J49" s="17">
        <f>IFERROR(SUMIFS(INDEX('Soruce file '!$A:$Z, 0, MATCH("CD", 'Soruce file '!$1:$1, 0)), INDEX('Soruce file '!$A:$Z, 0, MATCH("Date", 'Soruce file '!$1:$1, 0)), "&gt;="&amp;$B$1, INDEX('Soruce file '!$A:$Z, 0, MATCH("Date", 'Soruce file '!$1:$1, 0)), "&lt;="&amp;EOMONTH($B$1,0), INDEX('Soruce file '!$A:$Z, 0, MATCH("GA*", 'Soruce file '!$1:$1, 0)), $A49), 0)</f>
        <v>0</v>
      </c>
      <c r="K49" s="17">
        <f>IFERROR(SUMIFS(INDEX('Soruce file '!$A:$Z, 0, MATCH("Night Driving", 'Soruce file '!$1:$1, 0)), INDEX('Soruce file '!$A:$Z, 0, MATCH("Date", 'Soruce file '!$1:$1, 0)), "&gt;="&amp;$B$1, INDEX('Soruce file '!$A:$Z, 0, MATCH("Date", 'Soruce file '!$1:$1, 0)), "&lt;="&amp;EOMONTH($B$1,0), INDEX('Soruce file '!$A:$Z, 0, MATCH("GA*", 'Soruce file '!$1:$1, 0)), $A49), 0)</f>
        <v>0</v>
      </c>
      <c r="L49" s="17">
        <f t="shared" si="2"/>
        <v>0</v>
      </c>
      <c r="N49" s="2"/>
    </row>
    <row r="50" spans="1:14">
      <c r="A50" s="11" t="s">
        <v>559</v>
      </c>
      <c r="B50" s="59">
        <f t="shared" ref="B50:K50" si="3">SUM(B32:B49)</f>
        <v>58</v>
      </c>
      <c r="C50" s="59">
        <f t="shared" si="3"/>
        <v>14</v>
      </c>
      <c r="D50" s="59">
        <f t="shared" si="3"/>
        <v>3</v>
      </c>
      <c r="E50" s="59">
        <f t="shared" si="3"/>
        <v>0</v>
      </c>
      <c r="F50" s="59">
        <f t="shared" si="3"/>
        <v>0</v>
      </c>
      <c r="G50" s="59">
        <f t="shared" si="3"/>
        <v>1</v>
      </c>
      <c r="H50" s="59">
        <f t="shared" si="3"/>
        <v>0</v>
      </c>
      <c r="I50" s="59">
        <f t="shared" si="3"/>
        <v>7</v>
      </c>
      <c r="J50" s="59">
        <f t="shared" si="3"/>
        <v>0</v>
      </c>
      <c r="K50" s="59">
        <f t="shared" si="3"/>
        <v>0</v>
      </c>
      <c r="L50" s="17">
        <f>SUM(B50:K50)</f>
        <v>83</v>
      </c>
      <c r="N50" s="2"/>
    </row>
    <row r="53" spans="1:14">
      <c r="A53" s="9" t="s">
        <v>567</v>
      </c>
      <c r="B53" s="10">
        <f>EOMONTH(MAX('Soruce file '!B:B), -1) + 1</f>
        <v>46082</v>
      </c>
    </row>
    <row r="54" spans="1:14">
      <c r="A54" s="7" t="s">
        <v>561</v>
      </c>
      <c r="B54" s="7" t="s">
        <v>16</v>
      </c>
      <c r="C54" s="7" t="s">
        <v>19</v>
      </c>
      <c r="D54" s="7" t="s">
        <v>11</v>
      </c>
      <c r="E54" s="7" t="s">
        <v>562</v>
      </c>
      <c r="F54" s="7" t="s">
        <v>563</v>
      </c>
      <c r="G54" s="7" t="s">
        <v>564</v>
      </c>
      <c r="H54" s="7" t="s">
        <v>565</v>
      </c>
      <c r="I54" s="7" t="s">
        <v>24</v>
      </c>
      <c r="J54" s="7" t="s">
        <v>566</v>
      </c>
      <c r="K54" s="7" t="s">
        <v>558</v>
      </c>
      <c r="L54" s="7" t="s">
        <v>559</v>
      </c>
    </row>
    <row r="55" spans="1:14">
      <c r="A55" s="8" t="s">
        <v>10</v>
      </c>
      <c r="B55" s="58">
        <f>IFERROR(SUMIFS(INDEX('Soruce file '!$A:$Z, 0, MATCH("Mobile Usage", 'Soruce file '!$1:$1, 0)), INDEX('Soruce file '!$A:$Z, 0, MATCH("Date", 'Soruce file '!$1:$1, 0)), "&gt;="&amp;$B$1, INDEX('Soruce file '!$A:$Z, 0, MATCH("Date", 'Soruce file '!$1:$1, 0)), "&lt;="&amp;EOMONTH($B$1,0), INDEX('Soruce file '!$A:$Z, 0, MATCH("GA*", 'Soruce file '!$1:$1, 0)), $A55), 0)</f>
        <v>7</v>
      </c>
      <c r="C55" s="17">
        <f>IFERROR(SUMIFS(INDEX('Soruce file '!$A:$Z, 0, MATCH("No Seatbelt", 'Soruce file '!$1:$1, 0)), INDEX('Soruce file '!$A:$Z, 0, MATCH("Date", 'Soruce file '!$1:$1, 0)), "&gt;="&amp;$B$1, INDEX('Soruce file '!$A:$Z, 0, MATCH("Date", 'Soruce file '!$1:$1, 0)), "&lt;="&amp;EOMONTH($B$1,0), INDEX('Soruce file '!$A:$Z, 0, MATCH("GA*", 'Soruce file '!$1:$1, 0)), $A55), 0)</f>
        <v>5</v>
      </c>
      <c r="D55" s="17">
        <f>IFERROR(SUMIFS(INDEX('Soruce file '!$A:$Z, 0, MATCH("Yawning", 'Soruce file '!$1:$1, 0)), INDEX('Soruce file '!$A:$Z, 0, MATCH("Date", 'Soruce file '!$1:$1, 0)), "&gt;="&amp;$B$1, INDEX('Soruce file '!$A:$Z, 0, MATCH("Date", 'Soruce file '!$1:$1, 0)), "&lt;="&amp;EOMONTH($B$1,0), INDEX('Soruce file '!$A:$Z, 0, MATCH("GA*", 'Soruce file '!$1:$1, 0)), $A55), 0)</f>
        <v>0</v>
      </c>
      <c r="E55" s="17">
        <f>IFERROR(SUMIFS(INDEX('Soruce file '!$A:$Z, 0, MATCH("Fatigue", 'Soruce file '!$1:$1, 0)), INDEX('Soruce file '!$A:$Z, 0, MATCH("Date", 'Soruce file '!$1:$1, 0)), $B$1, INDEX('Soruce file '!$A:$Z, 0, MATCH("GA*", 'Soruce file '!$1:$1, 0)), $A55), 0)</f>
        <v>0</v>
      </c>
      <c r="F55" s="17">
        <f>IFERROR(SUMIFS(INDEX('Soruce file '!$A:$Z, 0, MATCH("Harsh Braking", 'Soruce file '!$1:$1, 0)), INDEX('Soruce file '!$A:$Z, 0, MATCH("Date", 'Soruce file '!$1:$1, 0)), "&gt;="&amp;$B$1, INDEX('Soruce file '!$A:$Z, 0, MATCH("Date", 'Soruce file '!$1:$1, 0)), "&lt;="&amp;EOMONTH($B$1,0), INDEX('Soruce file '!$A:$Z, 0, MATCH("GA*", 'Soruce file '!$1:$1, 0)), $A55), 0)</f>
        <v>0</v>
      </c>
      <c r="G55" s="17">
        <f>IFERROR(SUMIFS(INDEX('Soruce file '!$A:$Z, 0, MATCH("Overspeed", 'Soruce file '!$1:$1, 0)), INDEX('Soruce file '!$A:$Z, 0, MATCH("Date", 'Soruce file '!$1:$1, 0)), $B$1, INDEX('Soruce file '!$A:$Z, 0, MATCH("GA*", 'Soruce file '!$1:$1, 0)), $A55), 0)</f>
        <v>0</v>
      </c>
      <c r="H55" s="17">
        <f>IFERROR(SUMIFS(INDEX('Soruce file '!$A:$Z, 0, MATCH("Sudden Acceleration", 'Soruce file '!$1:$1, 0)), INDEX('Soruce file '!$A:$Z, 0, MATCH("Date", 'Soruce file '!$1:$1, 0)), "&gt;="&amp;$B$1, INDEX('Soruce file '!$A:$Z, 0, MATCH("Date", 'Soruce file '!$1:$1, 0)), "&lt;="&amp;EOMONTH($B$1,0), INDEX('Soruce file '!$A:$Z, 0, MATCH("GA*", 'Soruce file '!$1:$1, 0)), $A55), 0)</f>
        <v>0</v>
      </c>
      <c r="I55" s="17">
        <f>IFERROR(SUMIFS(INDEX('Soruce file '!$A:$Z, 0, MATCH("Camera Anomaly", 'Soruce file '!$1:$1, 0)), INDEX('Soruce file '!$A:$Z, 0, MATCH("Date", 'Soruce file '!$1:$1, 0)), "&gt;="&amp;$B$1, INDEX('Soruce file '!$A:$Z, 0, MATCH("Date", 'Soruce file '!$1:$1, 0)), "&lt;="&amp;EOMONTH($B$1,0), INDEX('Soruce file '!$A:$Z, 0, MATCH("GA*", 'Soruce file '!$1:$1, 0)), $A55), 0)</f>
        <v>0</v>
      </c>
      <c r="J55" s="17">
        <f>IFERROR(SUMIFS(INDEX('Soruce file '!$A:$Z, 0, MATCH("CD", 'Soruce file '!$1:$1, 0)), INDEX('Soruce file '!$A:$Z, 0, MATCH("Date", 'Soruce file '!$1:$1, 0)), "&gt;="&amp;$B$1, INDEX('Soruce file '!$A:$Z, 0, MATCH("Date", 'Soruce file '!$1:$1, 0)), "&lt;="&amp;EOMONTH($B$1,0), INDEX('Soruce file '!$A:$Z, 0, MATCH("GA*", 'Soruce file '!$1:$1, 0)), $A55), 0)</f>
        <v>0</v>
      </c>
      <c r="K55" s="17">
        <f>IFERROR(SUMIFS(INDEX('Soruce file '!$A:$Z, 0, MATCH("Night Driving", 'Soruce file '!$1:$1, 0)), INDEX('Soruce file '!$A:$Z, 0, MATCH("Date", 'Soruce file '!$1:$1, 0)), "&gt;="&amp;$B$1, INDEX('Soruce file '!$A:$Z, 0, MATCH("Date", 'Soruce file '!$1:$1, 0)), "&lt;="&amp;EOMONTH($B$1,0), INDEX('Soruce file '!$A:$Z, 0, MATCH("GA*", 'Soruce file '!$1:$1, 0)), $A55), 0)</f>
        <v>0</v>
      </c>
      <c r="L55" s="17">
        <f t="shared" ref="L55:L58" si="4">SUM(B55:K55)</f>
        <v>12</v>
      </c>
      <c r="N55" s="2"/>
    </row>
    <row r="56" spans="1:14">
      <c r="A56" s="8" t="s">
        <v>18</v>
      </c>
      <c r="B56" s="58">
        <f>IFERROR(SUMIFS(INDEX('Soruce file '!$A:$Z, 0, MATCH("Mobile Usage", 'Soruce file '!$1:$1, 0)), INDEX('Soruce file '!$A:$Z, 0, MATCH("Date", 'Soruce file '!$1:$1, 0)), "&gt;="&amp;$B$1, INDEX('Soruce file '!$A:$Z, 0, MATCH("Date", 'Soruce file '!$1:$1, 0)), "&lt;="&amp;EOMONTH($B$1,0), INDEX('Soruce file '!$A:$Z, 0, MATCH("GA*", 'Soruce file '!$1:$1, 0)), $A56), 0)</f>
        <v>7</v>
      </c>
      <c r="C56" s="17">
        <f>IFERROR(SUMIFS(INDEX('Soruce file '!$A:$Z, 0, MATCH("No Seatbelt", 'Soruce file '!$1:$1, 0)), INDEX('Soruce file '!$A:$Z, 0, MATCH("Date", 'Soruce file '!$1:$1, 0)), "&gt;="&amp;$B$1, INDEX('Soruce file '!$A:$Z, 0, MATCH("Date", 'Soruce file '!$1:$1, 0)), "&lt;="&amp;EOMONTH($B$1,0), INDEX('Soruce file '!$A:$Z, 0, MATCH("GA*", 'Soruce file '!$1:$1, 0)), $A56), 0)</f>
        <v>0</v>
      </c>
      <c r="D56" s="17">
        <f>IFERROR(SUMIFS(INDEX('Soruce file '!$A:$Z, 0, MATCH("Yawning", 'Soruce file '!$1:$1, 0)), INDEX('Soruce file '!$A:$Z, 0, MATCH("Date", 'Soruce file '!$1:$1, 0)), "&gt;="&amp;$B$1, INDEX('Soruce file '!$A:$Z, 0, MATCH("Date", 'Soruce file '!$1:$1, 0)), "&lt;="&amp;EOMONTH($B$1,0), INDEX('Soruce file '!$A:$Z, 0, MATCH("GA*", 'Soruce file '!$1:$1, 0)), $A56), 0)</f>
        <v>0</v>
      </c>
      <c r="E56" s="17">
        <f>IFERROR(SUMIFS(INDEX('Soruce file '!$A:$Z, 0, MATCH("Fatigue", 'Soruce file '!$1:$1, 0)), INDEX('Soruce file '!$A:$Z, 0, MATCH("Date", 'Soruce file '!$1:$1, 0)), $B$1, INDEX('Soruce file '!$A:$Z, 0, MATCH("GA*", 'Soruce file '!$1:$1, 0)), $A56), 0)</f>
        <v>0</v>
      </c>
      <c r="F56" s="17">
        <f>IFERROR(SUMIFS(INDEX('Soruce file '!$A:$Z, 0, MATCH("Harsh Braking", 'Soruce file '!$1:$1, 0)), INDEX('Soruce file '!$A:$Z, 0, MATCH("Date", 'Soruce file '!$1:$1, 0)), "&gt;="&amp;$B$1, INDEX('Soruce file '!$A:$Z, 0, MATCH("Date", 'Soruce file '!$1:$1, 0)), "&lt;="&amp;EOMONTH($B$1,0), INDEX('Soruce file '!$A:$Z, 0, MATCH("GA*", 'Soruce file '!$1:$1, 0)), $A56), 0)</f>
        <v>0</v>
      </c>
      <c r="G56" s="17">
        <f>IFERROR(SUMIFS(INDEX('Soruce file '!$A:$Z, 0, MATCH("Overspeed", 'Soruce file '!$1:$1, 0)), INDEX('Soruce file '!$A:$Z, 0, MATCH("Date", 'Soruce file '!$1:$1, 0)), $B$1, INDEX('Soruce file '!$A:$Z, 0, MATCH("GA*", 'Soruce file '!$1:$1, 0)), $A56), 0)</f>
        <v>0</v>
      </c>
      <c r="H56" s="17">
        <f>IFERROR(SUMIFS(INDEX('Soruce file '!$A:$Z, 0, MATCH("Sudden Acceleration", 'Soruce file '!$1:$1, 0)), INDEX('Soruce file '!$A:$Z, 0, MATCH("Date", 'Soruce file '!$1:$1, 0)), "&gt;="&amp;$B$1, INDEX('Soruce file '!$A:$Z, 0, MATCH("Date", 'Soruce file '!$1:$1, 0)), "&lt;="&amp;EOMONTH($B$1,0), INDEX('Soruce file '!$A:$Z, 0, MATCH("GA*", 'Soruce file '!$1:$1, 0)), $A56), 0)</f>
        <v>0</v>
      </c>
      <c r="I56" s="17">
        <f>IFERROR(SUMIFS(INDEX('Soruce file '!$A:$Z, 0, MATCH("Camera Anomaly", 'Soruce file '!$1:$1, 0)), INDEX('Soruce file '!$A:$Z, 0, MATCH("Date", 'Soruce file '!$1:$1, 0)), "&gt;="&amp;$B$1, INDEX('Soruce file '!$A:$Z, 0, MATCH("Date", 'Soruce file '!$1:$1, 0)), "&lt;="&amp;EOMONTH($B$1,0), INDEX('Soruce file '!$A:$Z, 0, MATCH("GA*", 'Soruce file '!$1:$1, 0)), $A56), 0)</f>
        <v>6</v>
      </c>
      <c r="J56" s="17">
        <f>IFERROR(SUMIFS(INDEX('Soruce file '!$A:$Z, 0, MATCH("CD", 'Soruce file '!$1:$1, 0)), INDEX('Soruce file '!$A:$Z, 0, MATCH("Date", 'Soruce file '!$1:$1, 0)), "&gt;="&amp;$B$1, INDEX('Soruce file '!$A:$Z, 0, MATCH("Date", 'Soruce file '!$1:$1, 0)), "&lt;="&amp;EOMONTH($B$1,0), INDEX('Soruce file '!$A:$Z, 0, MATCH("GA*", 'Soruce file '!$1:$1, 0)), $A56), 0)</f>
        <v>0</v>
      </c>
      <c r="K56" s="17">
        <f>IFERROR(SUMIFS(INDEX('Soruce file '!$A:$Z, 0, MATCH("Night Driving", 'Soruce file '!$1:$1, 0)), INDEX('Soruce file '!$A:$Z, 0, MATCH("Date", 'Soruce file '!$1:$1, 0)), "&gt;="&amp;$B$1, INDEX('Soruce file '!$A:$Z, 0, MATCH("Date", 'Soruce file '!$1:$1, 0)), "&lt;="&amp;EOMONTH($B$1,0), INDEX('Soruce file '!$A:$Z, 0, MATCH("GA*", 'Soruce file '!$1:$1, 0)), $A56), 0)</f>
        <v>0</v>
      </c>
      <c r="L56" s="17">
        <f t="shared" si="4"/>
        <v>13</v>
      </c>
      <c r="N56" s="2"/>
    </row>
    <row r="57" spans="1:14">
      <c r="A57" s="8" t="s">
        <v>42</v>
      </c>
      <c r="B57" s="58">
        <f>IFERROR(SUMIFS(INDEX('Soruce file '!$A:$Z, 0, MATCH("Mobile Usage", 'Soruce file '!$1:$1, 0)), INDEX('Soruce file '!$A:$Z, 0, MATCH("Date", 'Soruce file '!$1:$1, 0)), "&gt;="&amp;$B$1, INDEX('Soruce file '!$A:$Z, 0, MATCH("Date", 'Soruce file '!$1:$1, 0)), "&lt;="&amp;EOMONTH($B$1,0), INDEX('Soruce file '!$A:$Z, 0, MATCH("GA*", 'Soruce file '!$1:$1, 0)), $A57), 0)</f>
        <v>0</v>
      </c>
      <c r="C57" s="17">
        <f>IFERROR(SUMIFS(INDEX('Soruce file '!$A:$Z, 0, MATCH("No Seatbelt", 'Soruce file '!$1:$1, 0)), INDEX('Soruce file '!$A:$Z, 0, MATCH("Date", 'Soruce file '!$1:$1, 0)), "&gt;="&amp;$B$1, INDEX('Soruce file '!$A:$Z, 0, MATCH("Date", 'Soruce file '!$1:$1, 0)), "&lt;="&amp;EOMONTH($B$1,0), INDEX('Soruce file '!$A:$Z, 0, MATCH("GA*", 'Soruce file '!$1:$1, 0)), $A57), 0)</f>
        <v>0</v>
      </c>
      <c r="D57" s="17">
        <f>IFERROR(SUMIFS(INDEX('Soruce file '!$A:$Z, 0, MATCH("Yawning", 'Soruce file '!$1:$1, 0)), INDEX('Soruce file '!$A:$Z, 0, MATCH("Date", 'Soruce file '!$1:$1, 0)), "&gt;="&amp;$B$1, INDEX('Soruce file '!$A:$Z, 0, MATCH("Date", 'Soruce file '!$1:$1, 0)), "&lt;="&amp;EOMONTH($B$1,0), INDEX('Soruce file '!$A:$Z, 0, MATCH("GA*", 'Soruce file '!$1:$1, 0)), $A57), 0)</f>
        <v>1</v>
      </c>
      <c r="E57" s="17">
        <f>IFERROR(SUMIFS(INDEX('Soruce file '!$A:$Z, 0, MATCH("Fatigue", 'Soruce file '!$1:$1, 0)), INDEX('Soruce file '!$A:$Z, 0, MATCH("Date", 'Soruce file '!$1:$1, 0)), $B$1, INDEX('Soruce file '!$A:$Z, 0, MATCH("GA*", 'Soruce file '!$1:$1, 0)), $A57), 0)</f>
        <v>0</v>
      </c>
      <c r="F57" s="17">
        <f>IFERROR(SUMIFS(INDEX('Soruce file '!$A:$Z, 0, MATCH("Harsh Braking", 'Soruce file '!$1:$1, 0)), INDEX('Soruce file '!$A:$Z, 0, MATCH("Date", 'Soruce file '!$1:$1, 0)), "&gt;="&amp;$B$1, INDEX('Soruce file '!$A:$Z, 0, MATCH("Date", 'Soruce file '!$1:$1, 0)), "&lt;="&amp;EOMONTH($B$1,0), INDEX('Soruce file '!$A:$Z, 0, MATCH("GA*", 'Soruce file '!$1:$1, 0)), $A57), 0)</f>
        <v>0</v>
      </c>
      <c r="G57" s="17">
        <f>IFERROR(SUMIFS(INDEX('Soruce file '!$A:$Z, 0, MATCH("Overspeed", 'Soruce file '!$1:$1, 0)), INDEX('Soruce file '!$A:$Z, 0, MATCH("Date", 'Soruce file '!$1:$1, 0)), $B$1, INDEX('Soruce file '!$A:$Z, 0, MATCH("GA*", 'Soruce file '!$1:$1, 0)), $A57), 0)</f>
        <v>0</v>
      </c>
      <c r="H57" s="17">
        <f>IFERROR(SUMIFS(INDEX('Soruce file '!$A:$Z, 0, MATCH("Sudden Acceleration", 'Soruce file '!$1:$1, 0)), INDEX('Soruce file '!$A:$Z, 0, MATCH("Date", 'Soruce file '!$1:$1, 0)), "&gt;="&amp;$B$1, INDEX('Soruce file '!$A:$Z, 0, MATCH("Date", 'Soruce file '!$1:$1, 0)), "&lt;="&amp;EOMONTH($B$1,0), INDEX('Soruce file '!$A:$Z, 0, MATCH("GA*", 'Soruce file '!$1:$1, 0)), $A57), 0)</f>
        <v>0</v>
      </c>
      <c r="I57" s="17">
        <f>IFERROR(SUMIFS(INDEX('Soruce file '!$A:$Z, 0, MATCH("Camera Anomaly", 'Soruce file '!$1:$1, 0)), INDEX('Soruce file '!$A:$Z, 0, MATCH("Date", 'Soruce file '!$1:$1, 0)), "&gt;="&amp;$B$1, INDEX('Soruce file '!$A:$Z, 0, MATCH("Date", 'Soruce file '!$1:$1, 0)), "&lt;="&amp;EOMONTH($B$1,0), INDEX('Soruce file '!$A:$Z, 0, MATCH("GA*", 'Soruce file '!$1:$1, 0)), $A57), 0)</f>
        <v>0</v>
      </c>
      <c r="J57" s="17">
        <f>IFERROR(SUMIFS(INDEX('Soruce file '!$A:$Z, 0, MATCH("CD", 'Soruce file '!$1:$1, 0)), INDEX('Soruce file '!$A:$Z, 0, MATCH("Date", 'Soruce file '!$1:$1, 0)), "&gt;="&amp;$B$1, INDEX('Soruce file '!$A:$Z, 0, MATCH("Date", 'Soruce file '!$1:$1, 0)), "&lt;="&amp;EOMONTH($B$1,0), INDEX('Soruce file '!$A:$Z, 0, MATCH("GA*", 'Soruce file '!$1:$1, 0)), $A57), 0)</f>
        <v>0</v>
      </c>
      <c r="K57" s="17">
        <f>IFERROR(SUMIFS(INDEX('Soruce file '!$A:$Z, 0, MATCH("Night Driving", 'Soruce file '!$1:$1, 0)), INDEX('Soruce file '!$A:$Z, 0, MATCH("Date", 'Soruce file '!$1:$1, 0)), "&gt;="&amp;$B$1, INDEX('Soruce file '!$A:$Z, 0, MATCH("Date", 'Soruce file '!$1:$1, 0)), "&lt;="&amp;EOMONTH($B$1,0), INDEX('Soruce file '!$A:$Z, 0, MATCH("GA*", 'Soruce file '!$1:$1, 0)), $A57), 0)</f>
        <v>0</v>
      </c>
      <c r="L57" s="17">
        <f t="shared" si="4"/>
        <v>1</v>
      </c>
      <c r="N57" s="2"/>
    </row>
    <row r="58" spans="1:14">
      <c r="A58" s="8" t="s">
        <v>7</v>
      </c>
      <c r="B58" s="58">
        <f>IFERROR(SUMIFS(INDEX('Soruce file '!$A:$Z, 0, MATCH("Mobile Usage", 'Soruce file '!$1:$1, 0)), INDEX('Soruce file '!$A:$Z, 0, MATCH("Date", 'Soruce file '!$1:$1, 0)), "&gt;="&amp;$B$1, INDEX('Soruce file '!$A:$Z, 0, MATCH("Date", 'Soruce file '!$1:$1, 0)), "&lt;="&amp;EOMONTH($B$1,0), INDEX('Soruce file '!$A:$Z, 0, MATCH("GA*", 'Soruce file '!$1:$1, 0)), $A58), 0)</f>
        <v>3</v>
      </c>
      <c r="C58" s="17">
        <f>IFERROR(SUMIFS(INDEX('Soruce file '!$A:$Z, 0, MATCH("No Seatbelt", 'Soruce file '!$1:$1, 0)), INDEX('Soruce file '!$A:$Z, 0, MATCH("Date", 'Soruce file '!$1:$1, 0)), "&gt;="&amp;$B$1, INDEX('Soruce file '!$A:$Z, 0, MATCH("Date", 'Soruce file '!$1:$1, 0)), "&lt;="&amp;EOMONTH($B$1,0), INDEX('Soruce file '!$A:$Z, 0, MATCH("GA*", 'Soruce file '!$1:$1, 0)), $A58), 0)</f>
        <v>5</v>
      </c>
      <c r="D58" s="17">
        <f>IFERROR(SUMIFS(INDEX('Soruce file '!$A:$Z, 0, MATCH("Yawning", 'Soruce file '!$1:$1, 0)), INDEX('Soruce file '!$A:$Z, 0, MATCH("Date", 'Soruce file '!$1:$1, 0)), "&gt;="&amp;$B$1, INDEX('Soruce file '!$A:$Z, 0, MATCH("Date", 'Soruce file '!$1:$1, 0)), "&lt;="&amp;EOMONTH($B$1,0), INDEX('Soruce file '!$A:$Z, 0, MATCH("GA*", 'Soruce file '!$1:$1, 0)), $A58), 0)</f>
        <v>0</v>
      </c>
      <c r="E58" s="17">
        <f>IFERROR(SUMIFS(INDEX('Soruce file '!$A:$Z, 0, MATCH("Fatigue", 'Soruce file '!$1:$1, 0)), INDEX('Soruce file '!$A:$Z, 0, MATCH("Date", 'Soruce file '!$1:$1, 0)), $B$1, INDEX('Soruce file '!$A:$Z, 0, MATCH("GA*", 'Soruce file '!$1:$1, 0)), $A58), 0)</f>
        <v>0</v>
      </c>
      <c r="F58" s="17">
        <f>IFERROR(SUMIFS(INDEX('Soruce file '!$A:$Z, 0, MATCH("Harsh Braking", 'Soruce file '!$1:$1, 0)), INDEX('Soruce file '!$A:$Z, 0, MATCH("Date", 'Soruce file '!$1:$1, 0)), "&gt;="&amp;$B$1, INDEX('Soruce file '!$A:$Z, 0, MATCH("Date", 'Soruce file '!$1:$1, 0)), "&lt;="&amp;EOMONTH($B$1,0), INDEX('Soruce file '!$A:$Z, 0, MATCH("GA*", 'Soruce file '!$1:$1, 0)), $A58), 0)</f>
        <v>0</v>
      </c>
      <c r="G58" s="17">
        <f>IFERROR(SUMIFS(INDEX('Soruce file '!$A:$Z, 0, MATCH("Overspeed", 'Soruce file '!$1:$1, 0)), INDEX('Soruce file '!$A:$Z, 0, MATCH("Date", 'Soruce file '!$1:$1, 0)), $B$1, INDEX('Soruce file '!$A:$Z, 0, MATCH("GA*", 'Soruce file '!$1:$1, 0)), $A58), 0)</f>
        <v>0</v>
      </c>
      <c r="H58" s="17">
        <f>IFERROR(SUMIFS(INDEX('Soruce file '!$A:$Z, 0, MATCH("Sudden Acceleration", 'Soruce file '!$1:$1, 0)), INDEX('Soruce file '!$A:$Z, 0, MATCH("Date", 'Soruce file '!$1:$1, 0)), "&gt;="&amp;$B$1, INDEX('Soruce file '!$A:$Z, 0, MATCH("Date", 'Soruce file '!$1:$1, 0)), "&lt;="&amp;EOMONTH($B$1,0), INDEX('Soruce file '!$A:$Z, 0, MATCH("GA*", 'Soruce file '!$1:$1, 0)), $A58), 0)</f>
        <v>0</v>
      </c>
      <c r="I58" s="17">
        <f>IFERROR(SUMIFS(INDEX('Soruce file '!$A:$Z, 0, MATCH("Camera Anomaly", 'Soruce file '!$1:$1, 0)), INDEX('Soruce file '!$A:$Z, 0, MATCH("Date", 'Soruce file '!$1:$1, 0)), "&gt;="&amp;$B$1, INDEX('Soruce file '!$A:$Z, 0, MATCH("Date", 'Soruce file '!$1:$1, 0)), "&lt;="&amp;EOMONTH($B$1,0), INDEX('Soruce file '!$A:$Z, 0, MATCH("GA*", 'Soruce file '!$1:$1, 0)), $A58), 0)</f>
        <v>2</v>
      </c>
      <c r="J58" s="17">
        <f>IFERROR(SUMIFS(INDEX('Soruce file '!$A:$Z, 0, MATCH("CD", 'Soruce file '!$1:$1, 0)), INDEX('Soruce file '!$A:$Z, 0, MATCH("Date", 'Soruce file '!$1:$1, 0)), "&gt;="&amp;$B$1, INDEX('Soruce file '!$A:$Z, 0, MATCH("Date", 'Soruce file '!$1:$1, 0)), "&lt;="&amp;EOMONTH($B$1,0), INDEX('Soruce file '!$A:$Z, 0, MATCH("GA*", 'Soruce file '!$1:$1, 0)), $A58), 0)</f>
        <v>0</v>
      </c>
      <c r="K58" s="17">
        <f>IFERROR(SUMIFS(INDEX('Soruce file '!$A:$Z, 0, MATCH("Night Driving", 'Soruce file '!$1:$1, 0)), INDEX('Soruce file '!$A:$Z, 0, MATCH("Date", 'Soruce file '!$1:$1, 0)), "&gt;="&amp;$B$1, INDEX('Soruce file '!$A:$Z, 0, MATCH("Date", 'Soruce file '!$1:$1, 0)), "&lt;="&amp;EOMONTH($B$1,0), INDEX('Soruce file '!$A:$Z, 0, MATCH("GA*", 'Soruce file '!$1:$1, 0)), $A58), 0)</f>
        <v>0</v>
      </c>
      <c r="L58" s="17">
        <f t="shared" si="4"/>
        <v>10</v>
      </c>
      <c r="N58" s="2"/>
    </row>
    <row r="59" spans="1:14">
      <c r="A59" s="11" t="s">
        <v>559</v>
      </c>
      <c r="B59" s="59">
        <f t="shared" ref="B59:K59" si="5">SUM(B55:B58)</f>
        <v>17</v>
      </c>
      <c r="C59" s="59">
        <f t="shared" si="5"/>
        <v>10</v>
      </c>
      <c r="D59" s="59">
        <f t="shared" si="5"/>
        <v>1</v>
      </c>
      <c r="E59" s="59">
        <f t="shared" si="5"/>
        <v>0</v>
      </c>
      <c r="F59" s="59">
        <f t="shared" si="5"/>
        <v>0</v>
      </c>
      <c r="G59" s="59">
        <f t="shared" si="5"/>
        <v>0</v>
      </c>
      <c r="H59" s="59">
        <f t="shared" si="5"/>
        <v>0</v>
      </c>
      <c r="I59" s="59">
        <f t="shared" si="5"/>
        <v>8</v>
      </c>
      <c r="J59" s="59">
        <f t="shared" si="5"/>
        <v>0</v>
      </c>
      <c r="K59" s="59">
        <f t="shared" si="5"/>
        <v>0</v>
      </c>
      <c r="L59" s="17">
        <f>SUM(B59:K59)</f>
        <v>36</v>
      </c>
      <c r="N59" s="2"/>
    </row>
  </sheetData>
  <conditionalFormatting sqref="A3:A24">
    <cfRule type="duplicateValues" dxfId="96" priority="13"/>
    <cfRule type="duplicateValues" dxfId="95" priority="16"/>
  </conditionalFormatting>
  <conditionalFormatting sqref="A32:A49">
    <cfRule type="duplicateValues" dxfId="94" priority="31"/>
    <cfRule type="duplicateValues" dxfId="93" priority="32"/>
  </conditionalFormatting>
  <conditionalFormatting sqref="A55:A58">
    <cfRule type="duplicateValues" dxfId="92" priority="37"/>
    <cfRule type="duplicateValues" dxfId="91" priority="38"/>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AF3FA-85DC-4E9D-8782-E4F9C4D7FB8B}">
  <dimension ref="A1:P214"/>
  <sheetViews>
    <sheetView tabSelected="1" topLeftCell="E1" workbookViewId="0">
      <selection activeCell="I1" sqref="I1:N1"/>
    </sheetView>
  </sheetViews>
  <sheetFormatPr defaultRowHeight="14.5"/>
  <cols>
    <col min="1" max="1" width="6.7265625" hidden="1" customWidth="1"/>
    <col min="2" max="2" width="10.08984375" bestFit="1" customWidth="1"/>
    <col min="3" max="3" width="21.453125" bestFit="1" customWidth="1"/>
    <col min="4" max="4" width="12.1796875" bestFit="1" customWidth="1"/>
    <col min="5" max="5" width="13.08984375" bestFit="1" customWidth="1"/>
    <col min="6" max="6" width="29.26953125" bestFit="1" customWidth="1"/>
    <col min="7" max="7" width="20.6328125" bestFit="1" customWidth="1"/>
    <col min="8" max="8" width="8.90625" bestFit="1" customWidth="1"/>
    <col min="9" max="9" width="12.08984375" bestFit="1" customWidth="1"/>
    <col min="10" max="10" width="14.36328125" bestFit="1" customWidth="1"/>
    <col min="11" max="11" width="9.1796875" bestFit="1" customWidth="1"/>
    <col min="12" max="12" width="12.81640625" bestFit="1" customWidth="1"/>
    <col min="13" max="13" width="17.453125" bestFit="1" customWidth="1"/>
    <col min="14" max="14" width="10.08984375" bestFit="1" customWidth="1"/>
    <col min="15" max="15" width="13.81640625" bestFit="1" customWidth="1"/>
    <col min="16" max="16" width="5.453125" bestFit="1" customWidth="1"/>
    <col min="17" max="17" width="20.36328125" bestFit="1" customWidth="1"/>
    <col min="18" max="18" width="14.7265625" bestFit="1" customWidth="1"/>
    <col min="19" max="19" width="7.36328125" bestFit="1" customWidth="1"/>
    <col min="20" max="20" width="29.54296875" bestFit="1" customWidth="1"/>
    <col min="21" max="21" width="23" bestFit="1" customWidth="1"/>
    <col min="22" max="22" width="16" bestFit="1" customWidth="1"/>
    <col min="23" max="23" width="15.1796875" bestFit="1" customWidth="1"/>
    <col min="24" max="24" width="19.36328125" bestFit="1" customWidth="1"/>
    <col min="25" max="25" width="13" bestFit="1" customWidth="1"/>
    <col min="26" max="26" width="15.1796875" bestFit="1" customWidth="1"/>
    <col min="27" max="27" width="78.54296875" bestFit="1" customWidth="1"/>
    <col min="28" max="28" width="8.36328125" bestFit="1" customWidth="1"/>
    <col min="29" max="30" width="11.54296875" bestFit="1" customWidth="1"/>
    <col min="31" max="31" width="16.54296875" bestFit="1" customWidth="1"/>
    <col min="32" max="33" width="13" bestFit="1" customWidth="1"/>
  </cols>
  <sheetData>
    <row r="1" spans="1:15">
      <c r="A1" t="s">
        <v>0</v>
      </c>
      <c r="B1" s="4" t="s">
        <v>1</v>
      </c>
      <c r="C1" s="4" t="s">
        <v>2</v>
      </c>
      <c r="D1" s="4" t="s">
        <v>557</v>
      </c>
      <c r="E1" s="4" t="s">
        <v>291</v>
      </c>
      <c r="F1" s="4" t="s">
        <v>3</v>
      </c>
      <c r="G1" s="4" t="s">
        <v>4</v>
      </c>
      <c r="H1" s="4" t="s">
        <v>599</v>
      </c>
      <c r="I1" s="4" t="s">
        <v>12</v>
      </c>
      <c r="J1" s="4" t="s">
        <v>16</v>
      </c>
      <c r="K1" t="s">
        <v>8</v>
      </c>
      <c r="L1" s="4" t="s">
        <v>19</v>
      </c>
      <c r="M1" s="4" t="s">
        <v>24</v>
      </c>
      <c r="N1" s="4" t="s">
        <v>11</v>
      </c>
      <c r="O1" t="s">
        <v>811</v>
      </c>
    </row>
    <row r="2" spans="1:15">
      <c r="A2">
        <v>3</v>
      </c>
      <c r="B2" s="6">
        <v>46082</v>
      </c>
      <c r="C2" s="3" t="s">
        <v>25</v>
      </c>
      <c r="D2" s="3" t="s">
        <v>343</v>
      </c>
      <c r="E2" s="3" t="s">
        <v>315</v>
      </c>
      <c r="F2" s="3" t="s">
        <v>600</v>
      </c>
      <c r="G2" s="3" t="s">
        <v>601</v>
      </c>
      <c r="H2" s="3" t="s">
        <v>27</v>
      </c>
      <c r="I2" s="5">
        <v>1</v>
      </c>
      <c r="J2" s="5">
        <v>0</v>
      </c>
      <c r="K2">
        <v>0</v>
      </c>
      <c r="L2" s="5">
        <v>0</v>
      </c>
      <c r="M2" s="5">
        <v>0</v>
      </c>
      <c r="N2" s="5">
        <v>0</v>
      </c>
      <c r="O2" s="67">
        <f>SUM(Soruce_file_2[[#This Row],[Overspeed]:[Yawning]])</f>
        <v>1</v>
      </c>
    </row>
    <row r="3" spans="1:15">
      <c r="A3">
        <v>7</v>
      </c>
      <c r="B3" s="6">
        <v>46082</v>
      </c>
      <c r="C3" s="3" t="s">
        <v>144</v>
      </c>
      <c r="D3" s="3" t="s">
        <v>422</v>
      </c>
      <c r="E3" s="3" t="s">
        <v>315</v>
      </c>
      <c r="F3" s="3" t="s">
        <v>602</v>
      </c>
      <c r="G3" s="3" t="s">
        <v>603</v>
      </c>
      <c r="H3" s="3" t="s">
        <v>260</v>
      </c>
      <c r="I3" s="5">
        <v>0</v>
      </c>
      <c r="J3" s="5">
        <v>1</v>
      </c>
      <c r="K3">
        <v>0</v>
      </c>
      <c r="L3" s="5">
        <v>0</v>
      </c>
      <c r="M3" s="5">
        <v>0</v>
      </c>
      <c r="N3" s="5">
        <v>0</v>
      </c>
      <c r="O3" s="67">
        <f>SUM(Soruce_file_2[[#This Row],[Overspeed]:[Yawning]])</f>
        <v>1</v>
      </c>
    </row>
    <row r="4" spans="1:15">
      <c r="A4">
        <v>8</v>
      </c>
      <c r="B4" s="6">
        <v>46082</v>
      </c>
      <c r="C4" s="3" t="s">
        <v>25</v>
      </c>
      <c r="D4" s="3" t="s">
        <v>113</v>
      </c>
      <c r="E4" s="3" t="s">
        <v>294</v>
      </c>
      <c r="F4" s="3" t="s">
        <v>604</v>
      </c>
      <c r="G4" s="3" t="s">
        <v>114</v>
      </c>
      <c r="H4" s="3" t="s">
        <v>18</v>
      </c>
      <c r="I4" s="5">
        <v>0</v>
      </c>
      <c r="J4" s="5">
        <v>1</v>
      </c>
      <c r="K4">
        <v>0</v>
      </c>
      <c r="L4" s="5">
        <v>0</v>
      </c>
      <c r="M4" s="5">
        <v>0</v>
      </c>
      <c r="N4" s="5">
        <v>0</v>
      </c>
      <c r="O4" s="67">
        <f>SUM(Soruce_file_2[[#This Row],[Overspeed]:[Yawning]])</f>
        <v>1</v>
      </c>
    </row>
    <row r="5" spans="1:15">
      <c r="A5">
        <v>15</v>
      </c>
      <c r="B5" s="6">
        <v>46082</v>
      </c>
      <c r="C5" s="3" t="s">
        <v>118</v>
      </c>
      <c r="D5" s="3" t="s">
        <v>59</v>
      </c>
      <c r="E5" s="3" t="s">
        <v>294</v>
      </c>
      <c r="F5" s="3" t="s">
        <v>60</v>
      </c>
      <c r="G5" s="3" t="s">
        <v>61</v>
      </c>
      <c r="H5" s="3" t="s">
        <v>10</v>
      </c>
      <c r="I5" s="5">
        <v>0</v>
      </c>
      <c r="J5" s="5">
        <v>1</v>
      </c>
      <c r="K5">
        <v>0</v>
      </c>
      <c r="L5" s="5">
        <v>0</v>
      </c>
      <c r="M5" s="5">
        <v>0</v>
      </c>
      <c r="N5" s="5">
        <v>0</v>
      </c>
      <c r="O5" s="67">
        <f>SUM(Soruce_file_2[[#This Row],[Overspeed]:[Yawning]])</f>
        <v>1</v>
      </c>
    </row>
    <row r="6" spans="1:15">
      <c r="A6">
        <v>19</v>
      </c>
      <c r="B6" s="6">
        <v>46082</v>
      </c>
      <c r="C6" s="3" t="s">
        <v>480</v>
      </c>
      <c r="D6" s="3" t="s">
        <v>488</v>
      </c>
      <c r="E6" s="3" t="s">
        <v>315</v>
      </c>
      <c r="F6" s="3" t="s">
        <v>605</v>
      </c>
      <c r="G6" s="3" t="s">
        <v>606</v>
      </c>
      <c r="H6" s="3" t="s">
        <v>417</v>
      </c>
      <c r="I6" s="5">
        <v>0</v>
      </c>
      <c r="J6" s="5">
        <v>1</v>
      </c>
      <c r="K6">
        <v>0</v>
      </c>
      <c r="L6" s="5">
        <v>0</v>
      </c>
      <c r="M6" s="5">
        <v>0</v>
      </c>
      <c r="N6" s="5">
        <v>0</v>
      </c>
      <c r="O6" s="67">
        <f>SUM(Soruce_file_2[[#This Row],[Overspeed]:[Yawning]])</f>
        <v>1</v>
      </c>
    </row>
    <row r="7" spans="1:15">
      <c r="A7">
        <v>27</v>
      </c>
      <c r="B7" s="6">
        <v>46083</v>
      </c>
      <c r="C7" s="3" t="s">
        <v>310</v>
      </c>
      <c r="D7" s="3" t="s">
        <v>258</v>
      </c>
      <c r="E7" s="3" t="s">
        <v>315</v>
      </c>
      <c r="F7" s="3" t="s">
        <v>607</v>
      </c>
      <c r="G7" s="3" t="s">
        <v>608</v>
      </c>
      <c r="H7" s="3" t="s">
        <v>147</v>
      </c>
      <c r="I7" s="5">
        <v>1</v>
      </c>
      <c r="J7" s="5">
        <v>0</v>
      </c>
      <c r="K7">
        <v>0</v>
      </c>
      <c r="L7" s="5">
        <v>0</v>
      </c>
      <c r="M7" s="5">
        <v>0</v>
      </c>
      <c r="N7" s="5">
        <v>0</v>
      </c>
      <c r="O7" s="67">
        <f>SUM(Soruce_file_2[[#This Row],[Overspeed]:[Yawning]])</f>
        <v>1</v>
      </c>
    </row>
    <row r="8" spans="1:15">
      <c r="A8">
        <v>29</v>
      </c>
      <c r="B8" s="6">
        <v>46083</v>
      </c>
      <c r="C8" s="3" t="s">
        <v>25</v>
      </c>
      <c r="D8" s="3" t="s">
        <v>343</v>
      </c>
      <c r="E8" s="3" t="s">
        <v>315</v>
      </c>
      <c r="F8" s="3" t="s">
        <v>609</v>
      </c>
      <c r="G8" s="3" t="s">
        <v>601</v>
      </c>
      <c r="H8" s="3" t="s">
        <v>27</v>
      </c>
      <c r="I8" s="5">
        <v>1</v>
      </c>
      <c r="J8" s="5">
        <v>0</v>
      </c>
      <c r="K8">
        <v>0</v>
      </c>
      <c r="L8" s="5">
        <v>0</v>
      </c>
      <c r="M8" s="5">
        <v>0</v>
      </c>
      <c r="N8" s="5">
        <v>0</v>
      </c>
      <c r="O8" s="67">
        <f>SUM(Soruce_file_2[[#This Row],[Overspeed]:[Yawning]])</f>
        <v>1</v>
      </c>
    </row>
    <row r="9" spans="1:15">
      <c r="A9">
        <v>30</v>
      </c>
      <c r="B9" s="6">
        <v>46083</v>
      </c>
      <c r="C9" s="3" t="s">
        <v>13</v>
      </c>
      <c r="D9" s="3" t="s">
        <v>77</v>
      </c>
      <c r="E9" s="3" t="s">
        <v>315</v>
      </c>
      <c r="F9" s="3" t="s">
        <v>78</v>
      </c>
      <c r="G9" s="3" t="s">
        <v>79</v>
      </c>
      <c r="H9" s="3" t="s">
        <v>15</v>
      </c>
      <c r="I9" s="5">
        <v>0</v>
      </c>
      <c r="J9" s="5">
        <v>1</v>
      </c>
      <c r="K9">
        <v>0</v>
      </c>
      <c r="L9" s="5">
        <v>0</v>
      </c>
      <c r="M9" s="5">
        <v>0</v>
      </c>
      <c r="N9" s="5">
        <v>0</v>
      </c>
      <c r="O9" s="67">
        <f>SUM(Soruce_file_2[[#This Row],[Overspeed]:[Yawning]])</f>
        <v>1</v>
      </c>
    </row>
    <row r="10" spans="1:15">
      <c r="A10">
        <v>35</v>
      </c>
      <c r="B10" s="6">
        <v>46083</v>
      </c>
      <c r="C10" s="3" t="s">
        <v>5</v>
      </c>
      <c r="D10" s="3" t="s">
        <v>6</v>
      </c>
      <c r="E10" s="3" t="s">
        <v>294</v>
      </c>
      <c r="F10" s="3" t="s">
        <v>610</v>
      </c>
      <c r="G10" s="3" t="s">
        <v>611</v>
      </c>
      <c r="H10" s="3" t="s">
        <v>7</v>
      </c>
      <c r="I10" s="5">
        <v>0</v>
      </c>
      <c r="J10" s="5">
        <v>0</v>
      </c>
      <c r="K10">
        <v>0</v>
      </c>
      <c r="L10" s="5">
        <v>0</v>
      </c>
      <c r="M10" s="5">
        <v>1</v>
      </c>
      <c r="N10" s="5">
        <v>0</v>
      </c>
      <c r="O10" s="67">
        <f>SUM(Soruce_file_2[[#This Row],[Overspeed]:[Yawning]])</f>
        <v>1</v>
      </c>
    </row>
    <row r="11" spans="1:15">
      <c r="A11">
        <v>39</v>
      </c>
      <c r="B11" s="6">
        <v>46083</v>
      </c>
      <c r="C11" s="3" t="s">
        <v>5</v>
      </c>
      <c r="D11" s="3" t="s">
        <v>250</v>
      </c>
      <c r="E11" s="3" t="s">
        <v>294</v>
      </c>
      <c r="F11" s="3" t="s">
        <v>93</v>
      </c>
      <c r="G11" s="3" t="s">
        <v>94</v>
      </c>
      <c r="H11" s="3" t="s">
        <v>7</v>
      </c>
      <c r="I11" s="5">
        <v>0</v>
      </c>
      <c r="J11" s="5">
        <v>0</v>
      </c>
      <c r="K11">
        <v>0</v>
      </c>
      <c r="L11" s="5">
        <v>1</v>
      </c>
      <c r="M11" s="5">
        <v>0</v>
      </c>
      <c r="N11" s="5">
        <v>0</v>
      </c>
      <c r="O11" s="67">
        <f>SUM(Soruce_file_2[[#This Row],[Overspeed]:[Yawning]])</f>
        <v>1</v>
      </c>
    </row>
    <row r="12" spans="1:15">
      <c r="A12">
        <v>43</v>
      </c>
      <c r="B12" s="6">
        <v>46083</v>
      </c>
      <c r="C12" s="3" t="s">
        <v>5</v>
      </c>
      <c r="D12" s="3" t="s">
        <v>284</v>
      </c>
      <c r="E12" s="3" t="s">
        <v>294</v>
      </c>
      <c r="F12" s="3" t="s">
        <v>612</v>
      </c>
      <c r="G12" s="3" t="s">
        <v>613</v>
      </c>
      <c r="H12" s="3" t="s">
        <v>10</v>
      </c>
      <c r="I12" s="5">
        <v>0</v>
      </c>
      <c r="J12" s="5">
        <v>1</v>
      </c>
      <c r="K12">
        <v>0</v>
      </c>
      <c r="L12" s="5">
        <v>0</v>
      </c>
      <c r="M12" s="5">
        <v>0</v>
      </c>
      <c r="N12" s="5">
        <v>0</v>
      </c>
      <c r="O12" s="67">
        <f>SUM(Soruce_file_2[[#This Row],[Overspeed]:[Yawning]])</f>
        <v>1</v>
      </c>
    </row>
    <row r="13" spans="1:15">
      <c r="A13">
        <v>45</v>
      </c>
      <c r="B13" s="6">
        <v>46083</v>
      </c>
      <c r="C13" s="3" t="s">
        <v>5</v>
      </c>
      <c r="D13" s="3" t="s">
        <v>326</v>
      </c>
      <c r="E13" s="3" t="s">
        <v>315</v>
      </c>
      <c r="F13" s="3" t="s">
        <v>614</v>
      </c>
      <c r="G13" s="3" t="s">
        <v>615</v>
      </c>
      <c r="H13" s="3" t="s">
        <v>15</v>
      </c>
      <c r="I13" s="5">
        <v>0</v>
      </c>
      <c r="J13" s="5">
        <v>1</v>
      </c>
      <c r="K13">
        <v>0</v>
      </c>
      <c r="L13" s="5">
        <v>0</v>
      </c>
      <c r="M13" s="5">
        <v>0</v>
      </c>
      <c r="N13" s="5">
        <v>0</v>
      </c>
      <c r="O13" s="67">
        <f>SUM(Soruce_file_2[[#This Row],[Overspeed]:[Yawning]])</f>
        <v>1</v>
      </c>
    </row>
    <row r="14" spans="1:15">
      <c r="A14">
        <v>46</v>
      </c>
      <c r="B14" s="6">
        <v>46083</v>
      </c>
      <c r="C14" s="3" t="s">
        <v>5</v>
      </c>
      <c r="D14" s="3" t="s">
        <v>394</v>
      </c>
      <c r="E14" s="3" t="s">
        <v>315</v>
      </c>
      <c r="F14" s="3" t="s">
        <v>243</v>
      </c>
      <c r="G14" s="3" t="s">
        <v>244</v>
      </c>
      <c r="H14" s="3" t="s">
        <v>15</v>
      </c>
      <c r="I14" s="5">
        <v>0</v>
      </c>
      <c r="J14" s="5">
        <v>1</v>
      </c>
      <c r="K14">
        <v>0</v>
      </c>
      <c r="L14" s="5">
        <v>0</v>
      </c>
      <c r="M14" s="5">
        <v>0</v>
      </c>
      <c r="N14" s="5">
        <v>0</v>
      </c>
      <c r="O14" s="67">
        <f>SUM(Soruce_file_2[[#This Row],[Overspeed]:[Yawning]])</f>
        <v>1</v>
      </c>
    </row>
    <row r="15" spans="1:15">
      <c r="A15">
        <v>47</v>
      </c>
      <c r="B15" s="6">
        <v>46084</v>
      </c>
      <c r="C15" s="3" t="s">
        <v>118</v>
      </c>
      <c r="D15" s="3" t="s">
        <v>130</v>
      </c>
      <c r="E15" s="3" t="s">
        <v>294</v>
      </c>
      <c r="F15" s="3" t="s">
        <v>182</v>
      </c>
      <c r="G15" s="3" t="s">
        <v>158</v>
      </c>
      <c r="H15" s="3" t="s">
        <v>7</v>
      </c>
      <c r="I15" s="5">
        <v>0</v>
      </c>
      <c r="J15" s="5">
        <v>1</v>
      </c>
      <c r="K15">
        <v>0</v>
      </c>
      <c r="L15" s="5">
        <v>0</v>
      </c>
      <c r="M15" s="5">
        <v>0</v>
      </c>
      <c r="N15" s="5">
        <v>0</v>
      </c>
      <c r="O15" s="67">
        <f>SUM(Soruce_file_2[[#This Row],[Overspeed]:[Yawning]])</f>
        <v>1</v>
      </c>
    </row>
    <row r="16" spans="1:15">
      <c r="A16">
        <v>50</v>
      </c>
      <c r="B16" s="6">
        <v>46084</v>
      </c>
      <c r="C16" s="3" t="s">
        <v>5</v>
      </c>
      <c r="D16" s="3" t="s">
        <v>73</v>
      </c>
      <c r="E16" s="3" t="s">
        <v>294</v>
      </c>
      <c r="F16" s="3" t="s">
        <v>616</v>
      </c>
      <c r="G16" s="3" t="s">
        <v>617</v>
      </c>
      <c r="H16" s="3" t="s">
        <v>42</v>
      </c>
      <c r="I16" s="5">
        <v>0</v>
      </c>
      <c r="J16" s="5">
        <v>0</v>
      </c>
      <c r="K16">
        <v>0</v>
      </c>
      <c r="L16" s="5">
        <v>0</v>
      </c>
      <c r="M16" s="5">
        <v>0</v>
      </c>
      <c r="N16" s="5">
        <v>1</v>
      </c>
      <c r="O16" s="67">
        <f>SUM(Soruce_file_2[[#This Row],[Overspeed]:[Yawning]])</f>
        <v>1</v>
      </c>
    </row>
    <row r="17" spans="1:15">
      <c r="A17">
        <v>52</v>
      </c>
      <c r="B17" s="6">
        <v>46084</v>
      </c>
      <c r="C17" s="3" t="s">
        <v>5</v>
      </c>
      <c r="D17" s="3" t="s">
        <v>52</v>
      </c>
      <c r="E17" s="3" t="s">
        <v>315</v>
      </c>
      <c r="F17" s="3" t="s">
        <v>140</v>
      </c>
      <c r="G17" s="3" t="s">
        <v>54</v>
      </c>
      <c r="H17" s="3" t="s">
        <v>15</v>
      </c>
      <c r="I17" s="5">
        <v>0</v>
      </c>
      <c r="J17" s="5">
        <v>1</v>
      </c>
      <c r="K17">
        <v>0</v>
      </c>
      <c r="L17" s="5">
        <v>0</v>
      </c>
      <c r="M17" s="5">
        <v>0</v>
      </c>
      <c r="N17" s="5">
        <v>0</v>
      </c>
      <c r="O17" s="67">
        <f>SUM(Soruce_file_2[[#This Row],[Overspeed]:[Yawning]])</f>
        <v>1</v>
      </c>
    </row>
    <row r="18" spans="1:15">
      <c r="A18">
        <v>58</v>
      </c>
      <c r="B18" s="6">
        <v>46084</v>
      </c>
      <c r="C18" s="3" t="s">
        <v>5</v>
      </c>
      <c r="D18" s="3" t="s">
        <v>314</v>
      </c>
      <c r="E18" s="3" t="s">
        <v>315</v>
      </c>
      <c r="F18" s="3" t="s">
        <v>169</v>
      </c>
      <c r="G18" s="3" t="s">
        <v>618</v>
      </c>
      <c r="H18" s="3" t="s">
        <v>21</v>
      </c>
      <c r="I18" s="5">
        <v>0</v>
      </c>
      <c r="J18" s="5">
        <v>1</v>
      </c>
      <c r="K18">
        <v>0</v>
      </c>
      <c r="L18" s="5">
        <v>0</v>
      </c>
      <c r="M18" s="5">
        <v>0</v>
      </c>
      <c r="N18" s="5">
        <v>0</v>
      </c>
      <c r="O18" s="67">
        <f>SUM(Soruce_file_2[[#This Row],[Overspeed]:[Yawning]])</f>
        <v>1</v>
      </c>
    </row>
    <row r="19" spans="1:15">
      <c r="A19">
        <v>67</v>
      </c>
      <c r="B19" s="6">
        <v>46084</v>
      </c>
      <c r="C19" s="3" t="s">
        <v>310</v>
      </c>
      <c r="D19" s="3" t="s">
        <v>146</v>
      </c>
      <c r="E19" s="3" t="s">
        <v>315</v>
      </c>
      <c r="F19" s="3" t="s">
        <v>619</v>
      </c>
      <c r="G19" s="3" t="s">
        <v>620</v>
      </c>
      <c r="H19" s="3" t="s">
        <v>147</v>
      </c>
      <c r="I19" s="5">
        <v>0</v>
      </c>
      <c r="J19" s="5">
        <v>1</v>
      </c>
      <c r="K19">
        <v>0</v>
      </c>
      <c r="L19" s="5">
        <v>0</v>
      </c>
      <c r="M19" s="5">
        <v>0</v>
      </c>
      <c r="N19" s="5">
        <v>0</v>
      </c>
      <c r="O19" s="67">
        <f>SUM(Soruce_file_2[[#This Row],[Overspeed]:[Yawning]])</f>
        <v>1</v>
      </c>
    </row>
    <row r="20" spans="1:15">
      <c r="A20">
        <v>75</v>
      </c>
      <c r="B20" s="6">
        <v>46085</v>
      </c>
      <c r="C20" s="3" t="s">
        <v>5</v>
      </c>
      <c r="D20" s="3" t="s">
        <v>52</v>
      </c>
      <c r="E20" s="3" t="s">
        <v>315</v>
      </c>
      <c r="F20" s="3" t="s">
        <v>238</v>
      </c>
      <c r="G20" s="3" t="s">
        <v>239</v>
      </c>
      <c r="H20" s="3" t="s">
        <v>15</v>
      </c>
      <c r="I20" s="5">
        <v>0</v>
      </c>
      <c r="J20" s="5">
        <v>1</v>
      </c>
      <c r="K20">
        <v>0</v>
      </c>
      <c r="L20" s="5">
        <v>0</v>
      </c>
      <c r="M20" s="5">
        <v>0</v>
      </c>
      <c r="N20" s="5">
        <v>0</v>
      </c>
      <c r="O20" s="67">
        <f>SUM(Soruce_file_2[[#This Row],[Overspeed]:[Yawning]])</f>
        <v>1</v>
      </c>
    </row>
    <row r="21" spans="1:15">
      <c r="A21">
        <v>77</v>
      </c>
      <c r="B21" s="6">
        <v>46085</v>
      </c>
      <c r="C21" s="3" t="s">
        <v>5</v>
      </c>
      <c r="D21" s="3" t="s">
        <v>64</v>
      </c>
      <c r="E21" s="3" t="s">
        <v>294</v>
      </c>
      <c r="F21" s="3" t="s">
        <v>621</v>
      </c>
      <c r="G21" s="3" t="s">
        <v>622</v>
      </c>
      <c r="H21" s="3" t="s">
        <v>18</v>
      </c>
      <c r="I21" s="5">
        <v>0</v>
      </c>
      <c r="J21" s="5">
        <v>1</v>
      </c>
      <c r="K21">
        <v>0</v>
      </c>
      <c r="L21" s="5">
        <v>0</v>
      </c>
      <c r="M21" s="5">
        <v>0</v>
      </c>
      <c r="N21" s="5">
        <v>0</v>
      </c>
      <c r="O21" s="67">
        <f>SUM(Soruce_file_2[[#This Row],[Overspeed]:[Yawning]])</f>
        <v>1</v>
      </c>
    </row>
    <row r="22" spans="1:15">
      <c r="A22">
        <v>85</v>
      </c>
      <c r="B22" s="6">
        <v>46085</v>
      </c>
      <c r="C22" s="3" t="s">
        <v>5</v>
      </c>
      <c r="D22" s="3" t="s">
        <v>314</v>
      </c>
      <c r="E22" s="3" t="s">
        <v>315</v>
      </c>
      <c r="F22" s="3" t="s">
        <v>169</v>
      </c>
      <c r="G22" s="3" t="s">
        <v>618</v>
      </c>
      <c r="H22" s="3" t="s">
        <v>21</v>
      </c>
      <c r="I22" s="5">
        <v>0</v>
      </c>
      <c r="J22" s="5">
        <v>1</v>
      </c>
      <c r="K22">
        <v>0</v>
      </c>
      <c r="L22" s="5">
        <v>0</v>
      </c>
      <c r="M22" s="5">
        <v>0</v>
      </c>
      <c r="N22" s="5">
        <v>0</v>
      </c>
      <c r="O22" s="67">
        <f>SUM(Soruce_file_2[[#This Row],[Overspeed]:[Yawning]])</f>
        <v>1</v>
      </c>
    </row>
    <row r="23" spans="1:15">
      <c r="A23">
        <v>88</v>
      </c>
      <c r="B23" s="6">
        <v>46085</v>
      </c>
      <c r="C23" s="3" t="s">
        <v>5</v>
      </c>
      <c r="D23" s="3" t="s">
        <v>185</v>
      </c>
      <c r="E23" s="3" t="s">
        <v>315</v>
      </c>
      <c r="F23" s="3" t="s">
        <v>275</v>
      </c>
      <c r="G23" s="3" t="s">
        <v>276</v>
      </c>
      <c r="H23" s="3" t="s">
        <v>21</v>
      </c>
      <c r="I23" s="5">
        <v>0</v>
      </c>
      <c r="J23" s="5">
        <v>1</v>
      </c>
      <c r="K23">
        <v>0</v>
      </c>
      <c r="L23" s="5">
        <v>0</v>
      </c>
      <c r="M23" s="5">
        <v>0</v>
      </c>
      <c r="N23" s="5">
        <v>0</v>
      </c>
      <c r="O23" s="67">
        <f>SUM(Soruce_file_2[[#This Row],[Overspeed]:[Yawning]])</f>
        <v>1</v>
      </c>
    </row>
    <row r="24" spans="1:15">
      <c r="A24">
        <v>90</v>
      </c>
      <c r="B24" s="6">
        <v>46085</v>
      </c>
      <c r="C24" s="3" t="s">
        <v>37</v>
      </c>
      <c r="D24" s="3" t="s">
        <v>38</v>
      </c>
      <c r="E24" s="3" t="s">
        <v>315</v>
      </c>
      <c r="F24" s="3" t="s">
        <v>215</v>
      </c>
      <c r="G24" s="3" t="s">
        <v>39</v>
      </c>
      <c r="H24" s="3" t="s">
        <v>21</v>
      </c>
      <c r="I24" s="5">
        <v>0</v>
      </c>
      <c r="J24" s="5">
        <v>1</v>
      </c>
      <c r="K24">
        <v>0</v>
      </c>
      <c r="L24" s="5">
        <v>0</v>
      </c>
      <c r="M24" s="5">
        <v>0</v>
      </c>
      <c r="N24" s="5">
        <v>0</v>
      </c>
      <c r="O24" s="67">
        <f>SUM(Soruce_file_2[[#This Row],[Overspeed]:[Yawning]])</f>
        <v>1</v>
      </c>
    </row>
    <row r="25" spans="1:15">
      <c r="A25">
        <v>93</v>
      </c>
      <c r="B25" s="6">
        <v>46085</v>
      </c>
      <c r="C25" s="3" t="s">
        <v>25</v>
      </c>
      <c r="D25" s="3" t="s">
        <v>248</v>
      </c>
      <c r="E25" s="3" t="s">
        <v>315</v>
      </c>
      <c r="F25" s="3" t="s">
        <v>623</v>
      </c>
      <c r="G25" s="3" t="s">
        <v>624</v>
      </c>
      <c r="H25" s="3" t="s">
        <v>34</v>
      </c>
      <c r="I25" s="5">
        <v>0</v>
      </c>
      <c r="J25" s="5">
        <v>1</v>
      </c>
      <c r="K25">
        <v>0</v>
      </c>
      <c r="L25" s="5">
        <v>0</v>
      </c>
      <c r="M25" s="5">
        <v>0</v>
      </c>
      <c r="N25" s="5">
        <v>0</v>
      </c>
      <c r="O25" s="67">
        <f>SUM(Soruce_file_2[[#This Row],[Overspeed]:[Yawning]])</f>
        <v>1</v>
      </c>
    </row>
    <row r="26" spans="1:15">
      <c r="A26">
        <v>94</v>
      </c>
      <c r="B26" s="6">
        <v>46085</v>
      </c>
      <c r="C26" s="3" t="s">
        <v>13</v>
      </c>
      <c r="D26" s="3" t="s">
        <v>412</v>
      </c>
      <c r="E26" s="3" t="s">
        <v>315</v>
      </c>
      <c r="F26" s="3" t="s">
        <v>625</v>
      </c>
      <c r="G26" s="3" t="s">
        <v>223</v>
      </c>
      <c r="H26" s="3" t="s">
        <v>15</v>
      </c>
      <c r="I26" s="5">
        <v>0</v>
      </c>
      <c r="J26" s="5">
        <v>1</v>
      </c>
      <c r="K26">
        <v>0</v>
      </c>
      <c r="L26" s="5">
        <v>0</v>
      </c>
      <c r="M26" s="5">
        <v>0</v>
      </c>
      <c r="N26" s="5">
        <v>0</v>
      </c>
      <c r="O26" s="67">
        <f>SUM(Soruce_file_2[[#This Row],[Overspeed]:[Yawning]])</f>
        <v>1</v>
      </c>
    </row>
    <row r="27" spans="1:15">
      <c r="A27">
        <v>104</v>
      </c>
      <c r="B27" s="6">
        <v>46086</v>
      </c>
      <c r="C27" s="3" t="s">
        <v>25</v>
      </c>
      <c r="D27" s="3" t="s">
        <v>35</v>
      </c>
      <c r="E27" s="3" t="s">
        <v>315</v>
      </c>
      <c r="F27" s="3" t="s">
        <v>626</v>
      </c>
      <c r="G27" s="3" t="s">
        <v>627</v>
      </c>
      <c r="H27" s="3" t="s">
        <v>27</v>
      </c>
      <c r="I27" s="5">
        <v>1</v>
      </c>
      <c r="J27" s="5">
        <v>0</v>
      </c>
      <c r="K27">
        <v>0</v>
      </c>
      <c r="L27" s="5">
        <v>0</v>
      </c>
      <c r="M27" s="5">
        <v>0</v>
      </c>
      <c r="N27" s="5">
        <v>0</v>
      </c>
      <c r="O27" s="67">
        <f>SUM(Soruce_file_2[[#This Row],[Overspeed]:[Yawning]])</f>
        <v>1</v>
      </c>
    </row>
    <row r="28" spans="1:15">
      <c r="A28">
        <v>105</v>
      </c>
      <c r="B28" s="6">
        <v>46086</v>
      </c>
      <c r="C28" s="3" t="s">
        <v>5</v>
      </c>
      <c r="D28" s="3" t="s">
        <v>242</v>
      </c>
      <c r="E28" s="3" t="s">
        <v>315</v>
      </c>
      <c r="F28" s="3" t="s">
        <v>243</v>
      </c>
      <c r="G28" s="3" t="s">
        <v>244</v>
      </c>
      <c r="H28" s="3" t="s">
        <v>15</v>
      </c>
      <c r="I28" s="5">
        <v>0</v>
      </c>
      <c r="J28" s="5">
        <v>1</v>
      </c>
      <c r="K28">
        <v>0</v>
      </c>
      <c r="L28" s="5">
        <v>0</v>
      </c>
      <c r="M28" s="5">
        <v>0</v>
      </c>
      <c r="N28" s="5">
        <v>0</v>
      </c>
      <c r="O28" s="67">
        <f>SUM(Soruce_file_2[[#This Row],[Overspeed]:[Yawning]])</f>
        <v>1</v>
      </c>
    </row>
    <row r="29" spans="1:15">
      <c r="A29">
        <v>107</v>
      </c>
      <c r="B29" s="6">
        <v>46086</v>
      </c>
      <c r="C29" s="3" t="s">
        <v>118</v>
      </c>
      <c r="D29" s="3" t="s">
        <v>107</v>
      </c>
      <c r="E29" s="3" t="s">
        <v>294</v>
      </c>
      <c r="F29" s="3" t="s">
        <v>628</v>
      </c>
      <c r="G29" s="3" t="s">
        <v>629</v>
      </c>
      <c r="H29" s="3" t="s">
        <v>18</v>
      </c>
      <c r="I29" s="5">
        <v>0</v>
      </c>
      <c r="J29" s="5">
        <v>0</v>
      </c>
      <c r="K29">
        <v>0</v>
      </c>
      <c r="L29" s="5">
        <v>0</v>
      </c>
      <c r="M29" s="5">
        <v>1</v>
      </c>
      <c r="N29" s="5">
        <v>0</v>
      </c>
      <c r="O29" s="67">
        <f>SUM(Soruce_file_2[[#This Row],[Overspeed]:[Yawning]])</f>
        <v>1</v>
      </c>
    </row>
    <row r="30" spans="1:15">
      <c r="A30">
        <v>108</v>
      </c>
      <c r="B30" s="6">
        <v>46086</v>
      </c>
      <c r="C30" s="3" t="s">
        <v>480</v>
      </c>
      <c r="D30" s="3" t="s">
        <v>499</v>
      </c>
      <c r="E30" s="3" t="s">
        <v>315</v>
      </c>
      <c r="F30" s="3" t="s">
        <v>630</v>
      </c>
      <c r="G30" s="3" t="s">
        <v>631</v>
      </c>
      <c r="H30" s="3" t="s">
        <v>417</v>
      </c>
      <c r="I30" s="5">
        <v>0</v>
      </c>
      <c r="J30" s="5">
        <v>0</v>
      </c>
      <c r="K30">
        <v>0</v>
      </c>
      <c r="L30" s="5">
        <v>1</v>
      </c>
      <c r="M30" s="5">
        <v>0</v>
      </c>
      <c r="N30" s="5">
        <v>0</v>
      </c>
      <c r="O30" s="67">
        <f>SUM(Soruce_file_2[[#This Row],[Overspeed]:[Yawning]])</f>
        <v>1</v>
      </c>
    </row>
    <row r="31" spans="1:15">
      <c r="A31">
        <v>112</v>
      </c>
      <c r="B31" s="6">
        <v>46086</v>
      </c>
      <c r="C31" s="3" t="s">
        <v>310</v>
      </c>
      <c r="D31" s="3" t="s">
        <v>258</v>
      </c>
      <c r="E31" s="3" t="s">
        <v>315</v>
      </c>
      <c r="F31" s="3" t="s">
        <v>632</v>
      </c>
      <c r="G31" s="3" t="s">
        <v>608</v>
      </c>
      <c r="H31" s="3" t="s">
        <v>147</v>
      </c>
      <c r="I31" s="5">
        <v>0</v>
      </c>
      <c r="J31" s="5">
        <v>1</v>
      </c>
      <c r="K31">
        <v>0</v>
      </c>
      <c r="L31" s="5">
        <v>0</v>
      </c>
      <c r="M31" s="5">
        <v>0</v>
      </c>
      <c r="N31" s="5">
        <v>0</v>
      </c>
      <c r="O31" s="67">
        <f>SUM(Soruce_file_2[[#This Row],[Overspeed]:[Yawning]])</f>
        <v>1</v>
      </c>
    </row>
    <row r="32" spans="1:15">
      <c r="A32">
        <v>113</v>
      </c>
      <c r="B32" s="6">
        <v>46086</v>
      </c>
      <c r="C32" s="3" t="s">
        <v>68</v>
      </c>
      <c r="D32" s="3" t="s">
        <v>217</v>
      </c>
      <c r="E32" s="3" t="s">
        <v>315</v>
      </c>
      <c r="F32" s="3" t="s">
        <v>229</v>
      </c>
      <c r="G32" s="3" t="s">
        <v>218</v>
      </c>
      <c r="H32" s="3" t="s">
        <v>58</v>
      </c>
      <c r="I32" s="5">
        <v>0</v>
      </c>
      <c r="J32" s="5">
        <v>0</v>
      </c>
      <c r="K32">
        <v>0</v>
      </c>
      <c r="L32" s="5">
        <v>1</v>
      </c>
      <c r="M32" s="5">
        <v>0</v>
      </c>
      <c r="N32" s="5">
        <v>0</v>
      </c>
      <c r="O32" s="67">
        <f>SUM(Soruce_file_2[[#This Row],[Overspeed]:[Yawning]])</f>
        <v>1</v>
      </c>
    </row>
    <row r="33" spans="1:15">
      <c r="A33">
        <v>118</v>
      </c>
      <c r="B33" s="6">
        <v>46086</v>
      </c>
      <c r="C33" s="3" t="s">
        <v>310</v>
      </c>
      <c r="D33" s="3" t="s">
        <v>106</v>
      </c>
      <c r="E33" s="3" t="s">
        <v>315</v>
      </c>
      <c r="F33" s="3" t="s">
        <v>220</v>
      </c>
      <c r="G33" s="3" t="s">
        <v>221</v>
      </c>
      <c r="H33" s="3" t="s">
        <v>97</v>
      </c>
      <c r="I33" s="5">
        <v>0</v>
      </c>
      <c r="J33" s="5">
        <v>0</v>
      </c>
      <c r="K33">
        <v>0</v>
      </c>
      <c r="L33" s="5">
        <v>0</v>
      </c>
      <c r="M33" s="5">
        <v>1</v>
      </c>
      <c r="N33" s="5">
        <v>0</v>
      </c>
      <c r="O33" s="67">
        <f>SUM(Soruce_file_2[[#This Row],[Overspeed]:[Yawning]])</f>
        <v>1</v>
      </c>
    </row>
    <row r="34" spans="1:15">
      <c r="A34">
        <v>124</v>
      </c>
      <c r="B34" s="2">
        <v>46086</v>
      </c>
      <c r="C34" s="1" t="s">
        <v>37</v>
      </c>
      <c r="D34" s="1" t="s">
        <v>48</v>
      </c>
      <c r="E34" s="1" t="s">
        <v>315</v>
      </c>
      <c r="F34" s="1" t="s">
        <v>288</v>
      </c>
      <c r="G34" s="1" t="s">
        <v>289</v>
      </c>
      <c r="H34" s="1" t="s">
        <v>21</v>
      </c>
      <c r="I34" s="67">
        <v>0</v>
      </c>
      <c r="J34" s="67">
        <v>1</v>
      </c>
      <c r="K34">
        <v>0</v>
      </c>
      <c r="L34" s="67">
        <v>0</v>
      </c>
      <c r="M34" s="67">
        <v>0</v>
      </c>
      <c r="N34" s="67">
        <v>0</v>
      </c>
      <c r="O34" s="67">
        <f>SUM(Soruce_file_2[[#This Row],[Overspeed]:[Yawning]])</f>
        <v>1</v>
      </c>
    </row>
    <row r="35" spans="1:15">
      <c r="A35">
        <v>133</v>
      </c>
      <c r="B35" s="2">
        <v>46086</v>
      </c>
      <c r="C35" s="1" t="s">
        <v>5</v>
      </c>
      <c r="D35" s="1" t="s">
        <v>284</v>
      </c>
      <c r="E35" s="1" t="s">
        <v>294</v>
      </c>
      <c r="F35" s="1" t="s">
        <v>633</v>
      </c>
      <c r="G35" s="1" t="s">
        <v>613</v>
      </c>
      <c r="H35" s="1" t="s">
        <v>10</v>
      </c>
      <c r="I35" s="67">
        <v>0</v>
      </c>
      <c r="J35" s="67">
        <v>1</v>
      </c>
      <c r="K35">
        <v>0</v>
      </c>
      <c r="L35" s="67">
        <v>0</v>
      </c>
      <c r="M35" s="67">
        <v>0</v>
      </c>
      <c r="N35" s="67">
        <v>0</v>
      </c>
      <c r="O35" s="67">
        <f>SUM(Soruce_file_2[[#This Row],[Overspeed]:[Yawning]])</f>
        <v>1</v>
      </c>
    </row>
    <row r="36" spans="1:15">
      <c r="A36">
        <v>134</v>
      </c>
      <c r="B36" s="2">
        <v>46086</v>
      </c>
      <c r="C36" s="1" t="s">
        <v>5</v>
      </c>
      <c r="D36" s="1" t="s">
        <v>150</v>
      </c>
      <c r="E36" s="1" t="s">
        <v>294</v>
      </c>
      <c r="F36" s="1" t="s">
        <v>634</v>
      </c>
      <c r="G36" s="1" t="s">
        <v>635</v>
      </c>
      <c r="H36" s="1" t="s">
        <v>18</v>
      </c>
      <c r="I36" s="67">
        <v>0</v>
      </c>
      <c r="J36" s="67">
        <v>0</v>
      </c>
      <c r="K36">
        <v>1</v>
      </c>
      <c r="L36" s="67">
        <v>0</v>
      </c>
      <c r="M36" s="67">
        <v>0</v>
      </c>
      <c r="N36" s="67">
        <v>0</v>
      </c>
      <c r="O36" s="67">
        <f>SUM(Soruce_file_2[[#This Row],[Overspeed]:[Yawning]])</f>
        <v>1</v>
      </c>
    </row>
    <row r="37" spans="1:15">
      <c r="A37">
        <v>135</v>
      </c>
      <c r="B37" s="2">
        <v>46086</v>
      </c>
      <c r="C37" s="1" t="s">
        <v>310</v>
      </c>
      <c r="D37" s="1" t="s">
        <v>462</v>
      </c>
      <c r="E37" s="1" t="s">
        <v>315</v>
      </c>
      <c r="F37" s="1" t="s">
        <v>636</v>
      </c>
      <c r="G37" s="1" t="s">
        <v>637</v>
      </c>
      <c r="H37" s="1" t="s">
        <v>417</v>
      </c>
      <c r="I37" s="67">
        <v>0</v>
      </c>
      <c r="J37" s="67">
        <v>0</v>
      </c>
      <c r="K37">
        <v>1</v>
      </c>
      <c r="L37" s="67">
        <v>0</v>
      </c>
      <c r="M37" s="67">
        <v>0</v>
      </c>
      <c r="N37" s="67">
        <v>0</v>
      </c>
      <c r="O37" s="67">
        <f>SUM(Soruce_file_2[[#This Row],[Overspeed]:[Yawning]])</f>
        <v>1</v>
      </c>
    </row>
    <row r="38" spans="1:15">
      <c r="A38">
        <v>140</v>
      </c>
      <c r="B38" s="2">
        <v>46087</v>
      </c>
      <c r="C38" s="1" t="s">
        <v>480</v>
      </c>
      <c r="D38" s="1" t="s">
        <v>495</v>
      </c>
      <c r="E38" s="1" t="s">
        <v>315</v>
      </c>
      <c r="F38" s="1" t="s">
        <v>638</v>
      </c>
      <c r="G38" s="1" t="s">
        <v>639</v>
      </c>
      <c r="H38" s="1" t="s">
        <v>417</v>
      </c>
      <c r="I38" s="67">
        <v>0</v>
      </c>
      <c r="J38" s="67">
        <v>0</v>
      </c>
      <c r="K38">
        <v>0</v>
      </c>
      <c r="L38" s="67">
        <v>1</v>
      </c>
      <c r="M38" s="67">
        <v>0</v>
      </c>
      <c r="N38" s="67">
        <v>0</v>
      </c>
      <c r="O38" s="67">
        <f>SUM(Soruce_file_2[[#This Row],[Overspeed]:[Yawning]])</f>
        <v>1</v>
      </c>
    </row>
    <row r="39" spans="1:15">
      <c r="A39">
        <v>141</v>
      </c>
      <c r="B39" s="2">
        <v>46087</v>
      </c>
      <c r="C39" s="1" t="s">
        <v>310</v>
      </c>
      <c r="D39" s="1" t="s">
        <v>321</v>
      </c>
      <c r="E39" s="1" t="s">
        <v>315</v>
      </c>
      <c r="F39" s="1" t="s">
        <v>640</v>
      </c>
      <c r="G39" s="1" t="s">
        <v>641</v>
      </c>
      <c r="H39" s="1" t="s">
        <v>27</v>
      </c>
      <c r="I39" s="67">
        <v>0</v>
      </c>
      <c r="J39" s="67">
        <v>1</v>
      </c>
      <c r="K39">
        <v>0</v>
      </c>
      <c r="L39" s="67">
        <v>0</v>
      </c>
      <c r="M39" s="67">
        <v>0</v>
      </c>
      <c r="N39" s="67">
        <v>0</v>
      </c>
      <c r="O39" s="67">
        <f>SUM(Soruce_file_2[[#This Row],[Overspeed]:[Yawning]])</f>
        <v>1</v>
      </c>
    </row>
    <row r="40" spans="1:15">
      <c r="A40">
        <v>142</v>
      </c>
      <c r="B40" s="2">
        <v>46087</v>
      </c>
      <c r="C40" s="1" t="s">
        <v>5</v>
      </c>
      <c r="D40" s="1" t="s">
        <v>92</v>
      </c>
      <c r="E40" s="1" t="s">
        <v>294</v>
      </c>
      <c r="F40" s="1" t="s">
        <v>151</v>
      </c>
      <c r="G40" s="1" t="s">
        <v>94</v>
      </c>
      <c r="H40" s="1" t="s">
        <v>7</v>
      </c>
      <c r="I40" s="67">
        <v>0</v>
      </c>
      <c r="J40" s="67">
        <v>0</v>
      </c>
      <c r="K40">
        <v>0</v>
      </c>
      <c r="L40" s="67">
        <v>1</v>
      </c>
      <c r="M40" s="67">
        <v>0</v>
      </c>
      <c r="N40" s="67">
        <v>0</v>
      </c>
      <c r="O40" s="67">
        <f>SUM(Soruce_file_2[[#This Row],[Overspeed]:[Yawning]])</f>
        <v>1</v>
      </c>
    </row>
    <row r="41" spans="1:15">
      <c r="A41">
        <v>144</v>
      </c>
      <c r="B41" s="2">
        <v>46087</v>
      </c>
      <c r="C41" s="1" t="s">
        <v>25</v>
      </c>
      <c r="D41" s="1" t="s">
        <v>253</v>
      </c>
      <c r="E41" s="1" t="s">
        <v>315</v>
      </c>
      <c r="F41" s="1" t="s">
        <v>642</v>
      </c>
      <c r="G41" s="1" t="s">
        <v>643</v>
      </c>
      <c r="H41" s="1" t="s">
        <v>27</v>
      </c>
      <c r="I41" s="67">
        <v>0</v>
      </c>
      <c r="J41" s="67">
        <v>0</v>
      </c>
      <c r="K41">
        <v>0</v>
      </c>
      <c r="L41" s="67">
        <v>1</v>
      </c>
      <c r="M41" s="67">
        <v>0</v>
      </c>
      <c r="N41" s="67">
        <v>0</v>
      </c>
      <c r="O41" s="67">
        <f>SUM(Soruce_file_2[[#This Row],[Overspeed]:[Yawning]])</f>
        <v>1</v>
      </c>
    </row>
    <row r="42" spans="1:15">
      <c r="A42">
        <v>146</v>
      </c>
      <c r="B42" s="2">
        <v>46087</v>
      </c>
      <c r="C42" s="1" t="s">
        <v>68</v>
      </c>
      <c r="D42" s="1" t="s">
        <v>401</v>
      </c>
      <c r="E42" s="1" t="s">
        <v>315</v>
      </c>
      <c r="F42" s="1" t="s">
        <v>644</v>
      </c>
      <c r="G42" s="1" t="s">
        <v>645</v>
      </c>
      <c r="H42" s="1" t="s">
        <v>88</v>
      </c>
      <c r="I42" s="67">
        <v>0</v>
      </c>
      <c r="J42" s="67">
        <v>0</v>
      </c>
      <c r="K42">
        <v>0</v>
      </c>
      <c r="L42" s="67">
        <v>1</v>
      </c>
      <c r="M42" s="67">
        <v>0</v>
      </c>
      <c r="N42" s="67">
        <v>0</v>
      </c>
      <c r="O42" s="67">
        <f>SUM(Soruce_file_2[[#This Row],[Overspeed]:[Yawning]])</f>
        <v>1</v>
      </c>
    </row>
    <row r="43" spans="1:15">
      <c r="A43">
        <v>152</v>
      </c>
      <c r="B43" s="2">
        <v>46087</v>
      </c>
      <c r="C43" s="1" t="s">
        <v>5</v>
      </c>
      <c r="D43" s="1" t="s">
        <v>64</v>
      </c>
      <c r="E43" s="1" t="s">
        <v>294</v>
      </c>
      <c r="F43" s="1" t="s">
        <v>65</v>
      </c>
      <c r="G43" s="1" t="s">
        <v>66</v>
      </c>
      <c r="H43" s="1" t="s">
        <v>18</v>
      </c>
      <c r="I43" s="67">
        <v>0</v>
      </c>
      <c r="J43" s="67">
        <v>1</v>
      </c>
      <c r="K43">
        <v>0</v>
      </c>
      <c r="L43" s="67">
        <v>0</v>
      </c>
      <c r="M43" s="67">
        <v>0</v>
      </c>
      <c r="N43" s="67">
        <v>0</v>
      </c>
      <c r="O43" s="67">
        <f>SUM(Soruce_file_2[[#This Row],[Overspeed]:[Yawning]])</f>
        <v>1</v>
      </c>
    </row>
    <row r="44" spans="1:15">
      <c r="A44">
        <v>153</v>
      </c>
      <c r="B44" s="2">
        <v>46087</v>
      </c>
      <c r="C44" s="1" t="s">
        <v>37</v>
      </c>
      <c r="D44" s="1" t="s">
        <v>38</v>
      </c>
      <c r="E44" s="1" t="s">
        <v>315</v>
      </c>
      <c r="F44" s="1" t="s">
        <v>215</v>
      </c>
      <c r="G44" s="1" t="s">
        <v>39</v>
      </c>
      <c r="H44" s="1" t="s">
        <v>21</v>
      </c>
      <c r="I44" s="67">
        <v>0</v>
      </c>
      <c r="J44" s="67">
        <v>1</v>
      </c>
      <c r="K44">
        <v>0</v>
      </c>
      <c r="L44" s="67">
        <v>0</v>
      </c>
      <c r="M44" s="67">
        <v>0</v>
      </c>
      <c r="N44" s="67">
        <v>0</v>
      </c>
      <c r="O44" s="67">
        <f>SUM(Soruce_file_2[[#This Row],[Overspeed]:[Yawning]])</f>
        <v>1</v>
      </c>
    </row>
    <row r="45" spans="1:15">
      <c r="A45">
        <v>156</v>
      </c>
      <c r="B45" s="2">
        <v>46087</v>
      </c>
      <c r="C45" s="1" t="s">
        <v>5</v>
      </c>
      <c r="D45" s="1" t="s">
        <v>242</v>
      </c>
      <c r="E45" s="1" t="s">
        <v>315</v>
      </c>
      <c r="F45" s="1" t="s">
        <v>234</v>
      </c>
      <c r="G45" s="1" t="s">
        <v>223</v>
      </c>
      <c r="H45" s="1" t="s">
        <v>15</v>
      </c>
      <c r="I45" s="67">
        <v>0</v>
      </c>
      <c r="J45" s="67">
        <v>1</v>
      </c>
      <c r="K45">
        <v>0</v>
      </c>
      <c r="L45" s="67">
        <v>0</v>
      </c>
      <c r="M45" s="67">
        <v>0</v>
      </c>
      <c r="N45" s="67">
        <v>0</v>
      </c>
      <c r="O45" s="67">
        <f>SUM(Soruce_file_2[[#This Row],[Overspeed]:[Yawning]])</f>
        <v>1</v>
      </c>
    </row>
    <row r="46" spans="1:15">
      <c r="A46">
        <v>158</v>
      </c>
      <c r="B46" s="2">
        <v>46087</v>
      </c>
      <c r="C46" s="1" t="s">
        <v>5</v>
      </c>
      <c r="D46" s="1" t="s">
        <v>152</v>
      </c>
      <c r="E46" s="1" t="s">
        <v>294</v>
      </c>
      <c r="F46" s="1" t="s">
        <v>646</v>
      </c>
      <c r="G46" s="1" t="s">
        <v>647</v>
      </c>
      <c r="H46" s="1" t="s">
        <v>18</v>
      </c>
      <c r="I46" s="67">
        <v>0</v>
      </c>
      <c r="J46" s="67">
        <v>1</v>
      </c>
      <c r="K46">
        <v>0</v>
      </c>
      <c r="L46" s="67">
        <v>0</v>
      </c>
      <c r="M46" s="67">
        <v>0</v>
      </c>
      <c r="N46" s="67">
        <v>0</v>
      </c>
      <c r="O46" s="67">
        <f>SUM(Soruce_file_2[[#This Row],[Overspeed]:[Yawning]])</f>
        <v>1</v>
      </c>
    </row>
    <row r="47" spans="1:15">
      <c r="A47">
        <v>165</v>
      </c>
      <c r="B47" s="2">
        <v>46087</v>
      </c>
      <c r="C47" s="1" t="s">
        <v>310</v>
      </c>
      <c r="D47" s="1" t="s">
        <v>160</v>
      </c>
      <c r="E47" s="1" t="s">
        <v>315</v>
      </c>
      <c r="F47" s="1" t="s">
        <v>648</v>
      </c>
      <c r="G47" s="1" t="s">
        <v>649</v>
      </c>
      <c r="H47" s="1" t="s">
        <v>34</v>
      </c>
      <c r="I47" s="67">
        <v>0</v>
      </c>
      <c r="J47" s="67">
        <v>0</v>
      </c>
      <c r="K47">
        <v>1</v>
      </c>
      <c r="L47" s="67">
        <v>0</v>
      </c>
      <c r="M47" s="67">
        <v>0</v>
      </c>
      <c r="N47" s="67">
        <v>0</v>
      </c>
      <c r="O47" s="67">
        <f>SUM(Soruce_file_2[[#This Row],[Overspeed]:[Yawning]])</f>
        <v>1</v>
      </c>
    </row>
    <row r="48" spans="1:15">
      <c r="A48">
        <v>166</v>
      </c>
      <c r="B48" s="2">
        <v>46088</v>
      </c>
      <c r="C48" s="1" t="s">
        <v>25</v>
      </c>
      <c r="D48" s="1" t="s">
        <v>530</v>
      </c>
      <c r="E48" s="1" t="s">
        <v>315</v>
      </c>
      <c r="F48" s="1" t="s">
        <v>650</v>
      </c>
      <c r="G48" s="1" t="s">
        <v>651</v>
      </c>
      <c r="H48" s="1" t="s">
        <v>260</v>
      </c>
      <c r="I48" s="67">
        <v>0</v>
      </c>
      <c r="J48" s="67">
        <v>0</v>
      </c>
      <c r="K48">
        <v>1</v>
      </c>
      <c r="L48" s="67">
        <v>0</v>
      </c>
      <c r="M48" s="67">
        <v>0</v>
      </c>
      <c r="N48" s="67">
        <v>0</v>
      </c>
      <c r="O48" s="67">
        <f>SUM(Soruce_file_2[[#This Row],[Overspeed]:[Yawning]])</f>
        <v>1</v>
      </c>
    </row>
    <row r="49" spans="1:15">
      <c r="A49">
        <v>167</v>
      </c>
      <c r="B49" s="2">
        <v>46088</v>
      </c>
      <c r="C49" s="1" t="s">
        <v>5</v>
      </c>
      <c r="D49" s="1" t="s">
        <v>200</v>
      </c>
      <c r="E49" s="1" t="s">
        <v>294</v>
      </c>
      <c r="F49" s="1" t="s">
        <v>278</v>
      </c>
      <c r="G49" s="1" t="s">
        <v>201</v>
      </c>
      <c r="H49" s="1" t="s">
        <v>18</v>
      </c>
      <c r="I49" s="67">
        <v>1</v>
      </c>
      <c r="J49" s="67">
        <v>0</v>
      </c>
      <c r="K49">
        <v>0</v>
      </c>
      <c r="L49" s="67">
        <v>0</v>
      </c>
      <c r="M49" s="67">
        <v>0</v>
      </c>
      <c r="N49" s="67">
        <v>0</v>
      </c>
      <c r="O49" s="67">
        <f>SUM(Soruce_file_2[[#This Row],[Overspeed]:[Yawning]])</f>
        <v>1</v>
      </c>
    </row>
    <row r="50" spans="1:15">
      <c r="A50">
        <v>168</v>
      </c>
      <c r="B50" s="2">
        <v>46088</v>
      </c>
      <c r="C50" s="1" t="s">
        <v>13</v>
      </c>
      <c r="D50" s="1" t="s">
        <v>14</v>
      </c>
      <c r="E50" s="1" t="s">
        <v>315</v>
      </c>
      <c r="F50" s="1" t="s">
        <v>222</v>
      </c>
      <c r="G50" s="1" t="s">
        <v>223</v>
      </c>
      <c r="H50" s="1" t="s">
        <v>15</v>
      </c>
      <c r="I50" s="67">
        <v>1</v>
      </c>
      <c r="J50" s="67">
        <v>0</v>
      </c>
      <c r="K50">
        <v>0</v>
      </c>
      <c r="L50" s="67">
        <v>0</v>
      </c>
      <c r="M50" s="67">
        <v>0</v>
      </c>
      <c r="N50" s="67">
        <v>0</v>
      </c>
      <c r="O50" s="67">
        <f>SUM(Soruce_file_2[[#This Row],[Overspeed]:[Yawning]])</f>
        <v>1</v>
      </c>
    </row>
    <row r="51" spans="1:15">
      <c r="A51">
        <v>172</v>
      </c>
      <c r="B51" s="2">
        <v>46088</v>
      </c>
      <c r="C51" s="1" t="s">
        <v>25</v>
      </c>
      <c r="D51" s="1" t="s">
        <v>189</v>
      </c>
      <c r="E51" s="1" t="s">
        <v>315</v>
      </c>
      <c r="F51" s="1" t="s">
        <v>652</v>
      </c>
      <c r="G51" s="1" t="s">
        <v>653</v>
      </c>
      <c r="H51" s="1" t="s">
        <v>34</v>
      </c>
      <c r="I51" s="67">
        <v>0</v>
      </c>
      <c r="J51" s="67">
        <v>0</v>
      </c>
      <c r="K51">
        <v>0</v>
      </c>
      <c r="L51" s="67">
        <v>0</v>
      </c>
      <c r="M51" s="67">
        <v>1</v>
      </c>
      <c r="N51" s="67">
        <v>0</v>
      </c>
      <c r="O51" s="67">
        <f>SUM(Soruce_file_2[[#This Row],[Overspeed]:[Yawning]])</f>
        <v>1</v>
      </c>
    </row>
    <row r="52" spans="1:15">
      <c r="A52">
        <v>184</v>
      </c>
      <c r="B52" s="2">
        <v>46088</v>
      </c>
      <c r="C52" s="1" t="s">
        <v>310</v>
      </c>
      <c r="D52" s="1" t="s">
        <v>309</v>
      </c>
      <c r="E52" s="1" t="s">
        <v>294</v>
      </c>
      <c r="F52" s="1" t="s">
        <v>654</v>
      </c>
      <c r="G52" s="1" t="s">
        <v>655</v>
      </c>
      <c r="H52" s="1" t="s">
        <v>7</v>
      </c>
      <c r="I52" s="67">
        <v>0</v>
      </c>
      <c r="J52" s="67">
        <v>0</v>
      </c>
      <c r="K52">
        <v>0</v>
      </c>
      <c r="L52" s="67">
        <v>1</v>
      </c>
      <c r="M52" s="67">
        <v>0</v>
      </c>
      <c r="N52" s="67">
        <v>0</v>
      </c>
      <c r="O52" s="67">
        <f>SUM(Soruce_file_2[[#This Row],[Overspeed]:[Yawning]])</f>
        <v>1</v>
      </c>
    </row>
    <row r="53" spans="1:15">
      <c r="A53">
        <v>191</v>
      </c>
      <c r="B53" s="2">
        <v>46088</v>
      </c>
      <c r="C53" s="1" t="s">
        <v>5</v>
      </c>
      <c r="D53" s="1" t="s">
        <v>203</v>
      </c>
      <c r="E53" s="1" t="s">
        <v>315</v>
      </c>
      <c r="F53" s="1" t="s">
        <v>272</v>
      </c>
      <c r="G53" s="1" t="s">
        <v>656</v>
      </c>
      <c r="H53" s="1" t="s">
        <v>15</v>
      </c>
      <c r="I53" s="67">
        <v>0</v>
      </c>
      <c r="J53" s="67">
        <v>1</v>
      </c>
      <c r="K53">
        <v>0</v>
      </c>
      <c r="L53" s="67">
        <v>0</v>
      </c>
      <c r="M53" s="67">
        <v>0</v>
      </c>
      <c r="N53" s="67">
        <v>0</v>
      </c>
      <c r="O53" s="67">
        <f>SUM(Soruce_file_2[[#This Row],[Overspeed]:[Yawning]])</f>
        <v>1</v>
      </c>
    </row>
    <row r="54" spans="1:15">
      <c r="A54">
        <v>193</v>
      </c>
      <c r="B54" s="2">
        <v>46089</v>
      </c>
      <c r="C54" s="1" t="s">
        <v>25</v>
      </c>
      <c r="D54" s="1" t="s">
        <v>530</v>
      </c>
      <c r="E54" s="1" t="s">
        <v>315</v>
      </c>
      <c r="F54" s="1" t="s">
        <v>657</v>
      </c>
      <c r="G54" s="1" t="s">
        <v>658</v>
      </c>
      <c r="H54" s="1" t="s">
        <v>260</v>
      </c>
      <c r="I54" s="67">
        <v>1</v>
      </c>
      <c r="J54" s="67">
        <v>0</v>
      </c>
      <c r="K54">
        <v>0</v>
      </c>
      <c r="L54" s="67">
        <v>0</v>
      </c>
      <c r="M54" s="67">
        <v>0</v>
      </c>
      <c r="N54" s="67">
        <v>0</v>
      </c>
      <c r="O54" s="67">
        <f>SUM(Soruce_file_2[[#This Row],[Overspeed]:[Yawning]])</f>
        <v>1</v>
      </c>
    </row>
    <row r="55" spans="1:15">
      <c r="A55">
        <v>199</v>
      </c>
      <c r="B55" s="2">
        <v>46089</v>
      </c>
      <c r="C55" s="1" t="s">
        <v>5</v>
      </c>
      <c r="D55" s="1" t="s">
        <v>250</v>
      </c>
      <c r="E55" s="1" t="s">
        <v>294</v>
      </c>
      <c r="F55" s="1" t="s">
        <v>659</v>
      </c>
      <c r="G55" s="1" t="s">
        <v>660</v>
      </c>
      <c r="H55" s="1" t="s">
        <v>7</v>
      </c>
      <c r="I55" s="67">
        <v>1</v>
      </c>
      <c r="J55" s="67">
        <v>0</v>
      </c>
      <c r="K55">
        <v>0</v>
      </c>
      <c r="L55" s="67">
        <v>0</v>
      </c>
      <c r="M55" s="67">
        <v>0</v>
      </c>
      <c r="N55" s="67">
        <v>0</v>
      </c>
      <c r="O55" s="67">
        <f>SUM(Soruce_file_2[[#This Row],[Overspeed]:[Yawning]])</f>
        <v>1</v>
      </c>
    </row>
    <row r="56" spans="1:15">
      <c r="A56">
        <v>203</v>
      </c>
      <c r="B56" s="2">
        <v>46089</v>
      </c>
      <c r="C56" s="1" t="s">
        <v>286</v>
      </c>
      <c r="D56" s="1" t="s">
        <v>430</v>
      </c>
      <c r="E56" s="1" t="s">
        <v>315</v>
      </c>
      <c r="F56" s="1" t="s">
        <v>661</v>
      </c>
      <c r="G56" s="1" t="s">
        <v>662</v>
      </c>
      <c r="H56" s="1" t="s">
        <v>260</v>
      </c>
      <c r="I56" s="67">
        <v>0</v>
      </c>
      <c r="J56" s="67">
        <v>0</v>
      </c>
      <c r="K56">
        <v>0</v>
      </c>
      <c r="L56" s="67">
        <v>1</v>
      </c>
      <c r="M56" s="67">
        <v>0</v>
      </c>
      <c r="N56" s="67">
        <v>0</v>
      </c>
      <c r="O56" s="67">
        <f>SUM(Soruce_file_2[[#This Row],[Overspeed]:[Yawning]])</f>
        <v>1</v>
      </c>
    </row>
    <row r="57" spans="1:15">
      <c r="A57">
        <v>204</v>
      </c>
      <c r="B57" s="2">
        <v>46089</v>
      </c>
      <c r="C57" s="1" t="s">
        <v>310</v>
      </c>
      <c r="D57" s="1" t="s">
        <v>258</v>
      </c>
      <c r="E57" s="1" t="s">
        <v>315</v>
      </c>
      <c r="F57" s="1" t="s">
        <v>663</v>
      </c>
      <c r="G57" s="1" t="s">
        <v>608</v>
      </c>
      <c r="H57" s="1" t="s">
        <v>147</v>
      </c>
      <c r="I57" s="67">
        <v>0</v>
      </c>
      <c r="J57" s="67">
        <v>1</v>
      </c>
      <c r="K57">
        <v>0</v>
      </c>
      <c r="L57" s="67">
        <v>0</v>
      </c>
      <c r="M57" s="67">
        <v>0</v>
      </c>
      <c r="N57" s="67">
        <v>0</v>
      </c>
      <c r="O57" s="67">
        <f>SUM(Soruce_file_2[[#This Row],[Overspeed]:[Yawning]])</f>
        <v>1</v>
      </c>
    </row>
    <row r="58" spans="1:15">
      <c r="A58">
        <v>211</v>
      </c>
      <c r="B58" s="2">
        <v>46089</v>
      </c>
      <c r="C58" s="1" t="s">
        <v>37</v>
      </c>
      <c r="D58" s="1" t="s">
        <v>38</v>
      </c>
      <c r="E58" s="1" t="s">
        <v>315</v>
      </c>
      <c r="F58" s="1" t="s">
        <v>215</v>
      </c>
      <c r="G58" s="1" t="s">
        <v>39</v>
      </c>
      <c r="H58" s="1" t="s">
        <v>21</v>
      </c>
      <c r="I58" s="67">
        <v>0</v>
      </c>
      <c r="J58" s="67">
        <v>1</v>
      </c>
      <c r="K58">
        <v>0</v>
      </c>
      <c r="L58" s="67">
        <v>0</v>
      </c>
      <c r="M58" s="67">
        <v>0</v>
      </c>
      <c r="N58" s="67">
        <v>0</v>
      </c>
      <c r="O58" s="67">
        <f>SUM(Soruce_file_2[[#This Row],[Overspeed]:[Yawning]])</f>
        <v>1</v>
      </c>
    </row>
    <row r="59" spans="1:15">
      <c r="A59">
        <v>226</v>
      </c>
      <c r="B59" s="2">
        <v>46090</v>
      </c>
      <c r="C59" s="1" t="s">
        <v>310</v>
      </c>
      <c r="D59" s="1" t="s">
        <v>167</v>
      </c>
      <c r="E59" s="1" t="s">
        <v>315</v>
      </c>
      <c r="F59" s="1" t="s">
        <v>197</v>
      </c>
      <c r="G59" s="1" t="s">
        <v>198</v>
      </c>
      <c r="H59" s="1" t="s">
        <v>58</v>
      </c>
      <c r="I59" s="67">
        <v>0</v>
      </c>
      <c r="J59" s="67">
        <v>0</v>
      </c>
      <c r="K59">
        <v>1</v>
      </c>
      <c r="L59" s="67">
        <v>0</v>
      </c>
      <c r="M59" s="67">
        <v>0</v>
      </c>
      <c r="N59" s="67">
        <v>0</v>
      </c>
      <c r="O59" s="67">
        <f>SUM(Soruce_file_2[[#This Row],[Overspeed]:[Yawning]])</f>
        <v>1</v>
      </c>
    </row>
    <row r="60" spans="1:15">
      <c r="A60">
        <v>229</v>
      </c>
      <c r="B60" s="2">
        <v>46090</v>
      </c>
      <c r="C60" s="1" t="s">
        <v>5</v>
      </c>
      <c r="D60" s="1" t="s">
        <v>190</v>
      </c>
      <c r="E60" s="1" t="s">
        <v>294</v>
      </c>
      <c r="F60" s="1" t="s">
        <v>191</v>
      </c>
      <c r="G60" s="1" t="s">
        <v>192</v>
      </c>
      <c r="H60" s="1" t="s">
        <v>10</v>
      </c>
      <c r="I60" s="67">
        <v>0</v>
      </c>
      <c r="J60" s="67">
        <v>1</v>
      </c>
      <c r="K60">
        <v>0</v>
      </c>
      <c r="L60" s="67">
        <v>0</v>
      </c>
      <c r="M60" s="67">
        <v>0</v>
      </c>
      <c r="N60" s="67">
        <v>0</v>
      </c>
      <c r="O60" s="67">
        <f>SUM(Soruce_file_2[[#This Row],[Overspeed]:[Yawning]])</f>
        <v>1</v>
      </c>
    </row>
    <row r="61" spans="1:15">
      <c r="A61">
        <v>232</v>
      </c>
      <c r="B61" s="2">
        <v>46090</v>
      </c>
      <c r="C61" s="1" t="s">
        <v>5</v>
      </c>
      <c r="D61" s="1" t="s">
        <v>120</v>
      </c>
      <c r="E61" s="1" t="s">
        <v>294</v>
      </c>
      <c r="F61" s="1" t="s">
        <v>664</v>
      </c>
      <c r="G61" s="1" t="s">
        <v>665</v>
      </c>
      <c r="H61" s="1" t="s">
        <v>18</v>
      </c>
      <c r="I61" s="67">
        <v>0</v>
      </c>
      <c r="J61" s="67">
        <v>1</v>
      </c>
      <c r="K61">
        <v>0</v>
      </c>
      <c r="L61" s="67">
        <v>0</v>
      </c>
      <c r="M61" s="67">
        <v>0</v>
      </c>
      <c r="N61" s="67">
        <v>0</v>
      </c>
      <c r="O61" s="67">
        <f>SUM(Soruce_file_2[[#This Row],[Overspeed]:[Yawning]])</f>
        <v>1</v>
      </c>
    </row>
    <row r="62" spans="1:15">
      <c r="A62">
        <v>240</v>
      </c>
      <c r="B62" s="2">
        <v>46090</v>
      </c>
      <c r="C62" s="1" t="s">
        <v>5</v>
      </c>
      <c r="D62" s="1" t="s">
        <v>92</v>
      </c>
      <c r="E62" s="1" t="s">
        <v>294</v>
      </c>
      <c r="F62" s="1" t="s">
        <v>666</v>
      </c>
      <c r="G62" s="1" t="s">
        <v>667</v>
      </c>
      <c r="H62" s="1" t="s">
        <v>7</v>
      </c>
      <c r="I62" s="67">
        <v>1</v>
      </c>
      <c r="J62" s="67">
        <v>0</v>
      </c>
      <c r="K62">
        <v>0</v>
      </c>
      <c r="L62" s="67">
        <v>0</v>
      </c>
      <c r="M62" s="67">
        <v>0</v>
      </c>
      <c r="N62" s="67">
        <v>0</v>
      </c>
      <c r="O62" s="67">
        <f>SUM(Soruce_file_2[[#This Row],[Overspeed]:[Yawning]])</f>
        <v>1</v>
      </c>
    </row>
    <row r="63" spans="1:15">
      <c r="A63">
        <v>244</v>
      </c>
      <c r="B63" s="2">
        <v>46090</v>
      </c>
      <c r="C63" s="1" t="s">
        <v>5</v>
      </c>
      <c r="D63" s="1" t="s">
        <v>394</v>
      </c>
      <c r="E63" s="1" t="s">
        <v>315</v>
      </c>
      <c r="F63" s="1" t="s">
        <v>668</v>
      </c>
      <c r="G63" s="1" t="s">
        <v>669</v>
      </c>
      <c r="H63" s="1" t="s">
        <v>15</v>
      </c>
      <c r="I63" s="67">
        <v>0</v>
      </c>
      <c r="J63" s="67">
        <v>1</v>
      </c>
      <c r="K63">
        <v>0</v>
      </c>
      <c r="L63" s="67">
        <v>0</v>
      </c>
      <c r="M63" s="67">
        <v>0</v>
      </c>
      <c r="N63" s="67">
        <v>0</v>
      </c>
      <c r="O63" s="67">
        <f>SUM(Soruce_file_2[[#This Row],[Overspeed]:[Yawning]])</f>
        <v>1</v>
      </c>
    </row>
    <row r="64" spans="1:15">
      <c r="A64">
        <v>245</v>
      </c>
      <c r="B64" s="2">
        <v>46090</v>
      </c>
      <c r="C64" s="1" t="s">
        <v>5</v>
      </c>
      <c r="D64" s="1" t="s">
        <v>52</v>
      </c>
      <c r="E64" s="1" t="s">
        <v>315</v>
      </c>
      <c r="F64" s="1" t="s">
        <v>140</v>
      </c>
      <c r="G64" s="1" t="s">
        <v>54</v>
      </c>
      <c r="H64" s="1" t="s">
        <v>15</v>
      </c>
      <c r="I64" s="67">
        <v>0</v>
      </c>
      <c r="J64" s="67">
        <v>1</v>
      </c>
      <c r="K64">
        <v>0</v>
      </c>
      <c r="L64" s="67">
        <v>0</v>
      </c>
      <c r="M64" s="67">
        <v>0</v>
      </c>
      <c r="N64" s="67">
        <v>0</v>
      </c>
      <c r="O64" s="67">
        <f>SUM(Soruce_file_2[[#This Row],[Overspeed]:[Yawning]])</f>
        <v>1</v>
      </c>
    </row>
    <row r="65" spans="1:15">
      <c r="A65">
        <v>249</v>
      </c>
      <c r="B65" s="2">
        <v>46091</v>
      </c>
      <c r="C65" s="1" t="s">
        <v>25</v>
      </c>
      <c r="D65" s="1" t="s">
        <v>56</v>
      </c>
      <c r="E65" s="1" t="s">
        <v>315</v>
      </c>
      <c r="F65" s="1" t="s">
        <v>670</v>
      </c>
      <c r="G65" s="1" t="s">
        <v>671</v>
      </c>
      <c r="H65" s="1" t="s">
        <v>34</v>
      </c>
      <c r="I65" s="67">
        <v>0</v>
      </c>
      <c r="J65" s="67">
        <v>0</v>
      </c>
      <c r="K65">
        <v>0</v>
      </c>
      <c r="L65" s="67">
        <v>0</v>
      </c>
      <c r="M65" s="67">
        <v>0</v>
      </c>
      <c r="N65" s="67">
        <v>1</v>
      </c>
      <c r="O65" s="67">
        <f>SUM(Soruce_file_2[[#This Row],[Overspeed]:[Yawning]])</f>
        <v>1</v>
      </c>
    </row>
    <row r="66" spans="1:15">
      <c r="A66">
        <v>250</v>
      </c>
      <c r="B66" s="2">
        <v>46091</v>
      </c>
      <c r="C66" s="1" t="s">
        <v>170</v>
      </c>
      <c r="D66" s="1" t="s">
        <v>179</v>
      </c>
      <c r="E66" s="1" t="s">
        <v>315</v>
      </c>
      <c r="F66" s="1" t="s">
        <v>672</v>
      </c>
      <c r="G66" s="1" t="s">
        <v>233</v>
      </c>
      <c r="H66" s="1" t="s">
        <v>27</v>
      </c>
      <c r="I66" s="67">
        <v>0</v>
      </c>
      <c r="J66" s="67">
        <v>1</v>
      </c>
      <c r="K66">
        <v>0</v>
      </c>
      <c r="L66" s="67">
        <v>0</v>
      </c>
      <c r="M66" s="67">
        <v>0</v>
      </c>
      <c r="N66" s="67">
        <v>0</v>
      </c>
      <c r="O66" s="67">
        <f>SUM(Soruce_file_2[[#This Row],[Overspeed]:[Yawning]])</f>
        <v>1</v>
      </c>
    </row>
    <row r="67" spans="1:15">
      <c r="A67">
        <v>251</v>
      </c>
      <c r="B67" s="2">
        <v>46091</v>
      </c>
      <c r="C67" s="1" t="s">
        <v>37</v>
      </c>
      <c r="D67" s="1" t="s">
        <v>550</v>
      </c>
      <c r="E67" s="1" t="s">
        <v>315</v>
      </c>
      <c r="F67" s="1" t="s">
        <v>673</v>
      </c>
      <c r="G67" s="1" t="s">
        <v>674</v>
      </c>
      <c r="H67" s="1" t="s">
        <v>29</v>
      </c>
      <c r="I67" s="67">
        <v>0</v>
      </c>
      <c r="J67" s="67">
        <v>0</v>
      </c>
      <c r="K67">
        <v>0</v>
      </c>
      <c r="L67" s="67">
        <v>1</v>
      </c>
      <c r="M67" s="67">
        <v>0</v>
      </c>
      <c r="N67" s="67">
        <v>0</v>
      </c>
      <c r="O67" s="67">
        <f>SUM(Soruce_file_2[[#This Row],[Overspeed]:[Yawning]])</f>
        <v>1</v>
      </c>
    </row>
    <row r="68" spans="1:15">
      <c r="A68">
        <v>254</v>
      </c>
      <c r="B68" s="2">
        <v>46091</v>
      </c>
      <c r="C68" s="1" t="s">
        <v>480</v>
      </c>
      <c r="D68" s="1" t="s">
        <v>499</v>
      </c>
      <c r="E68" s="1" t="s">
        <v>315</v>
      </c>
      <c r="F68" s="1" t="s">
        <v>675</v>
      </c>
      <c r="G68" s="1" t="s">
        <v>676</v>
      </c>
      <c r="H68" s="1" t="s">
        <v>417</v>
      </c>
      <c r="I68" s="67">
        <v>0</v>
      </c>
      <c r="J68" s="67">
        <v>0</v>
      </c>
      <c r="K68">
        <v>0</v>
      </c>
      <c r="L68" s="67">
        <v>1</v>
      </c>
      <c r="M68" s="67">
        <v>0</v>
      </c>
      <c r="N68" s="67">
        <v>0</v>
      </c>
      <c r="O68" s="67">
        <f>SUM(Soruce_file_2[[#This Row],[Overspeed]:[Yawning]])</f>
        <v>1</v>
      </c>
    </row>
    <row r="69" spans="1:15">
      <c r="A69">
        <v>260</v>
      </c>
      <c r="B69" s="2">
        <v>46091</v>
      </c>
      <c r="C69" s="1" t="s">
        <v>310</v>
      </c>
      <c r="D69" s="1" t="s">
        <v>312</v>
      </c>
      <c r="E69" s="1" t="s">
        <v>294</v>
      </c>
      <c r="F69" s="1" t="s">
        <v>677</v>
      </c>
      <c r="G69" s="1" t="s">
        <v>678</v>
      </c>
      <c r="H69" s="1" t="s">
        <v>10</v>
      </c>
      <c r="I69" s="67">
        <v>0</v>
      </c>
      <c r="J69" s="67">
        <v>0</v>
      </c>
      <c r="K69">
        <v>0</v>
      </c>
      <c r="L69" s="67">
        <v>1</v>
      </c>
      <c r="M69" s="67">
        <v>0</v>
      </c>
      <c r="N69" s="67">
        <v>0</v>
      </c>
      <c r="O69" s="67">
        <f>SUM(Soruce_file_2[[#This Row],[Overspeed]:[Yawning]])</f>
        <v>1</v>
      </c>
    </row>
    <row r="70" spans="1:15">
      <c r="A70">
        <v>262</v>
      </c>
      <c r="B70" s="2">
        <v>46091</v>
      </c>
      <c r="C70" s="1" t="s">
        <v>286</v>
      </c>
      <c r="D70" s="1" t="s">
        <v>433</v>
      </c>
      <c r="E70" s="1" t="s">
        <v>315</v>
      </c>
      <c r="F70" s="1" t="s">
        <v>679</v>
      </c>
      <c r="G70" s="1" t="s">
        <v>680</v>
      </c>
      <c r="H70" s="1" t="s">
        <v>260</v>
      </c>
      <c r="I70" s="67">
        <v>0</v>
      </c>
      <c r="J70" s="67">
        <v>1</v>
      </c>
      <c r="K70">
        <v>0</v>
      </c>
      <c r="L70" s="67">
        <v>0</v>
      </c>
      <c r="M70" s="67">
        <v>0</v>
      </c>
      <c r="N70" s="67">
        <v>0</v>
      </c>
      <c r="O70" s="67">
        <f>SUM(Soruce_file_2[[#This Row],[Overspeed]:[Yawning]])</f>
        <v>1</v>
      </c>
    </row>
    <row r="71" spans="1:15">
      <c r="A71">
        <v>263</v>
      </c>
      <c r="B71" s="2">
        <v>46091</v>
      </c>
      <c r="C71" s="1" t="s">
        <v>5</v>
      </c>
      <c r="D71" s="1" t="s">
        <v>52</v>
      </c>
      <c r="E71" s="1" t="s">
        <v>315</v>
      </c>
      <c r="F71" s="1" t="s">
        <v>53</v>
      </c>
      <c r="G71" s="1" t="s">
        <v>54</v>
      </c>
      <c r="H71" s="1" t="s">
        <v>15</v>
      </c>
      <c r="I71" s="67">
        <v>1</v>
      </c>
      <c r="J71" s="67">
        <v>0</v>
      </c>
      <c r="K71">
        <v>0</v>
      </c>
      <c r="L71" s="67">
        <v>0</v>
      </c>
      <c r="M71" s="67">
        <v>0</v>
      </c>
      <c r="N71" s="67">
        <v>0</v>
      </c>
      <c r="O71" s="67">
        <f>SUM(Soruce_file_2[[#This Row],[Overspeed]:[Yawning]])</f>
        <v>1</v>
      </c>
    </row>
    <row r="72" spans="1:15">
      <c r="A72">
        <v>270</v>
      </c>
      <c r="B72" s="2">
        <v>46091</v>
      </c>
      <c r="C72" s="1" t="s">
        <v>5</v>
      </c>
      <c r="D72" s="1" t="s">
        <v>62</v>
      </c>
      <c r="E72" s="1" t="s">
        <v>294</v>
      </c>
      <c r="F72" s="1" t="s">
        <v>681</v>
      </c>
      <c r="G72" s="1" t="s">
        <v>682</v>
      </c>
      <c r="H72" s="1" t="s">
        <v>18</v>
      </c>
      <c r="I72" s="67">
        <v>0</v>
      </c>
      <c r="J72" s="67">
        <v>0</v>
      </c>
      <c r="K72">
        <v>0</v>
      </c>
      <c r="L72" s="67">
        <v>0</v>
      </c>
      <c r="M72" s="67">
        <v>1</v>
      </c>
      <c r="N72" s="67">
        <v>0</v>
      </c>
      <c r="O72" s="67">
        <f>SUM(Soruce_file_2[[#This Row],[Overspeed]:[Yawning]])</f>
        <v>1</v>
      </c>
    </row>
    <row r="73" spans="1:15">
      <c r="A73">
        <v>271</v>
      </c>
      <c r="B73" s="2">
        <v>46091</v>
      </c>
      <c r="C73" s="1" t="s">
        <v>5</v>
      </c>
      <c r="D73" s="1" t="s">
        <v>62</v>
      </c>
      <c r="E73" s="1" t="s">
        <v>294</v>
      </c>
      <c r="F73" s="1" t="s">
        <v>683</v>
      </c>
      <c r="G73" s="1" t="s">
        <v>684</v>
      </c>
      <c r="H73" s="1" t="s">
        <v>18</v>
      </c>
      <c r="I73" s="67">
        <v>0</v>
      </c>
      <c r="J73" s="67">
        <v>0</v>
      </c>
      <c r="K73">
        <v>0</v>
      </c>
      <c r="L73" s="67">
        <v>0</v>
      </c>
      <c r="M73" s="67">
        <v>1</v>
      </c>
      <c r="N73" s="67">
        <v>0</v>
      </c>
      <c r="O73" s="67">
        <f>SUM(Soruce_file_2[[#This Row],[Overspeed]:[Yawning]])</f>
        <v>1</v>
      </c>
    </row>
    <row r="74" spans="1:15">
      <c r="A74">
        <v>272</v>
      </c>
      <c r="B74" s="2">
        <v>46091</v>
      </c>
      <c r="C74" s="1" t="s">
        <v>5</v>
      </c>
      <c r="D74" s="1" t="s">
        <v>394</v>
      </c>
      <c r="E74" s="1" t="s">
        <v>315</v>
      </c>
      <c r="F74" s="1" t="s">
        <v>685</v>
      </c>
      <c r="G74" s="1" t="s">
        <v>669</v>
      </c>
      <c r="H74" s="1" t="s">
        <v>15</v>
      </c>
      <c r="I74" s="67">
        <v>1</v>
      </c>
      <c r="J74" s="67">
        <v>0</v>
      </c>
      <c r="K74">
        <v>0</v>
      </c>
      <c r="L74" s="67">
        <v>0</v>
      </c>
      <c r="M74" s="67">
        <v>0</v>
      </c>
      <c r="N74" s="67">
        <v>0</v>
      </c>
      <c r="O74" s="67">
        <f>SUM(Soruce_file_2[[#This Row],[Overspeed]:[Yawning]])</f>
        <v>1</v>
      </c>
    </row>
    <row r="75" spans="1:15">
      <c r="A75">
        <v>273</v>
      </c>
      <c r="B75" s="2">
        <v>46091</v>
      </c>
      <c r="C75" s="1" t="s">
        <v>310</v>
      </c>
      <c r="D75" s="1" t="s">
        <v>312</v>
      </c>
      <c r="E75" s="1" t="s">
        <v>294</v>
      </c>
      <c r="F75" s="1" t="s">
        <v>686</v>
      </c>
      <c r="G75" s="1" t="s">
        <v>687</v>
      </c>
      <c r="H75" s="1" t="s">
        <v>10</v>
      </c>
      <c r="I75" s="67">
        <v>0</v>
      </c>
      <c r="J75" s="67">
        <v>0</v>
      </c>
      <c r="K75">
        <v>0</v>
      </c>
      <c r="L75" s="67">
        <v>1</v>
      </c>
      <c r="M75" s="67">
        <v>0</v>
      </c>
      <c r="N75" s="67">
        <v>0</v>
      </c>
      <c r="O75" s="67">
        <f>SUM(Soruce_file_2[[#This Row],[Overspeed]:[Yawning]])</f>
        <v>1</v>
      </c>
    </row>
    <row r="76" spans="1:15">
      <c r="A76">
        <v>277</v>
      </c>
      <c r="B76" s="2">
        <v>46091</v>
      </c>
      <c r="C76" s="1" t="s">
        <v>310</v>
      </c>
      <c r="D76" s="1" t="s">
        <v>461</v>
      </c>
      <c r="E76" s="1" t="s">
        <v>315</v>
      </c>
      <c r="F76" s="1" t="s">
        <v>688</v>
      </c>
      <c r="G76" s="1" t="s">
        <v>689</v>
      </c>
      <c r="H76" s="1" t="s">
        <v>417</v>
      </c>
      <c r="I76" s="67">
        <v>0</v>
      </c>
      <c r="J76" s="67">
        <v>0</v>
      </c>
      <c r="K76">
        <v>1</v>
      </c>
      <c r="L76" s="67">
        <v>0</v>
      </c>
      <c r="M76" s="67">
        <v>0</v>
      </c>
      <c r="N76" s="67">
        <v>0</v>
      </c>
      <c r="O76" s="67">
        <f>SUM(Soruce_file_2[[#This Row],[Overspeed]:[Yawning]])</f>
        <v>1</v>
      </c>
    </row>
    <row r="77" spans="1:15">
      <c r="A77">
        <v>279</v>
      </c>
      <c r="B77" s="2">
        <v>46092</v>
      </c>
      <c r="C77" s="1" t="s">
        <v>13</v>
      </c>
      <c r="D77" s="1" t="s">
        <v>133</v>
      </c>
      <c r="E77" s="1" t="s">
        <v>315</v>
      </c>
      <c r="F77" s="1" t="s">
        <v>690</v>
      </c>
      <c r="G77" s="1" t="s">
        <v>691</v>
      </c>
      <c r="H77" s="1" t="s">
        <v>15</v>
      </c>
      <c r="I77" s="67">
        <v>0</v>
      </c>
      <c r="J77" s="67">
        <v>1</v>
      </c>
      <c r="K77">
        <v>0</v>
      </c>
      <c r="L77" s="67">
        <v>0</v>
      </c>
      <c r="M77" s="67">
        <v>0</v>
      </c>
      <c r="N77" s="67">
        <v>0</v>
      </c>
      <c r="O77" s="67">
        <f>SUM(Soruce_file_2[[#This Row],[Overspeed]:[Yawning]])</f>
        <v>1</v>
      </c>
    </row>
    <row r="78" spans="1:15">
      <c r="A78">
        <v>282</v>
      </c>
      <c r="B78" s="2">
        <v>46092</v>
      </c>
      <c r="C78" s="1" t="s">
        <v>480</v>
      </c>
      <c r="D78" s="1" t="s">
        <v>495</v>
      </c>
      <c r="E78" s="1" t="s">
        <v>315</v>
      </c>
      <c r="F78" s="1" t="s">
        <v>638</v>
      </c>
      <c r="G78" s="1" t="s">
        <v>639</v>
      </c>
      <c r="H78" s="1" t="s">
        <v>417</v>
      </c>
      <c r="I78" s="67">
        <v>0</v>
      </c>
      <c r="J78" s="67">
        <v>0</v>
      </c>
      <c r="K78">
        <v>0</v>
      </c>
      <c r="L78" s="67">
        <v>1</v>
      </c>
      <c r="M78" s="67">
        <v>0</v>
      </c>
      <c r="N78" s="67">
        <v>0</v>
      </c>
      <c r="O78" s="67">
        <f>SUM(Soruce_file_2[[#This Row],[Overspeed]:[Yawning]])</f>
        <v>1</v>
      </c>
    </row>
    <row r="79" spans="1:15">
      <c r="A79">
        <v>286</v>
      </c>
      <c r="B79" s="2">
        <v>46092</v>
      </c>
      <c r="C79" s="1" t="s">
        <v>5</v>
      </c>
      <c r="D79" s="1" t="s">
        <v>194</v>
      </c>
      <c r="E79" s="1" t="s">
        <v>294</v>
      </c>
      <c r="F79" s="1" t="s">
        <v>692</v>
      </c>
      <c r="G79" s="1" t="s">
        <v>693</v>
      </c>
      <c r="H79" s="1" t="s">
        <v>7</v>
      </c>
      <c r="I79" s="67">
        <v>0</v>
      </c>
      <c r="J79" s="67">
        <v>0</v>
      </c>
      <c r="K79">
        <v>0</v>
      </c>
      <c r="L79" s="67">
        <v>0</v>
      </c>
      <c r="M79" s="67">
        <v>1</v>
      </c>
      <c r="N79" s="67">
        <v>0</v>
      </c>
      <c r="O79" s="67">
        <f>SUM(Soruce_file_2[[#This Row],[Overspeed]:[Yawning]])</f>
        <v>1</v>
      </c>
    </row>
    <row r="80" spans="1:15">
      <c r="A80">
        <v>287</v>
      </c>
      <c r="B80" s="2">
        <v>46092</v>
      </c>
      <c r="C80" s="1" t="s">
        <v>80</v>
      </c>
      <c r="D80" s="1" t="s">
        <v>299</v>
      </c>
      <c r="E80" s="1" t="s">
        <v>294</v>
      </c>
      <c r="F80" s="1" t="s">
        <v>694</v>
      </c>
      <c r="G80" s="1" t="s">
        <v>695</v>
      </c>
      <c r="H80" s="1" t="s">
        <v>7</v>
      </c>
      <c r="I80" s="67">
        <v>1</v>
      </c>
      <c r="J80" s="67">
        <v>0</v>
      </c>
      <c r="K80">
        <v>0</v>
      </c>
      <c r="L80" s="67">
        <v>0</v>
      </c>
      <c r="M80" s="67">
        <v>0</v>
      </c>
      <c r="N80" s="67">
        <v>0</v>
      </c>
      <c r="O80" s="67">
        <f>SUM(Soruce_file_2[[#This Row],[Overspeed]:[Yawning]])</f>
        <v>1</v>
      </c>
    </row>
    <row r="81" spans="1:15">
      <c r="A81">
        <v>289</v>
      </c>
      <c r="B81" s="2">
        <v>46092</v>
      </c>
      <c r="C81" s="1" t="s">
        <v>310</v>
      </c>
      <c r="D81" s="1" t="s">
        <v>321</v>
      </c>
      <c r="E81" s="1" t="s">
        <v>315</v>
      </c>
      <c r="F81" s="1" t="s">
        <v>696</v>
      </c>
      <c r="G81" s="1" t="s">
        <v>641</v>
      </c>
      <c r="H81" s="1" t="s">
        <v>27</v>
      </c>
      <c r="I81" s="67">
        <v>1</v>
      </c>
      <c r="J81" s="67">
        <v>0</v>
      </c>
      <c r="K81">
        <v>0</v>
      </c>
      <c r="L81" s="67">
        <v>0</v>
      </c>
      <c r="M81" s="67">
        <v>0</v>
      </c>
      <c r="N81" s="67">
        <v>0</v>
      </c>
      <c r="O81" s="67">
        <f>SUM(Soruce_file_2[[#This Row],[Overspeed]:[Yawning]])</f>
        <v>1</v>
      </c>
    </row>
    <row r="82" spans="1:15">
      <c r="A82">
        <v>290</v>
      </c>
      <c r="B82" s="2">
        <v>46092</v>
      </c>
      <c r="C82" s="1" t="s">
        <v>5</v>
      </c>
      <c r="D82" s="1" t="s">
        <v>296</v>
      </c>
      <c r="E82" s="1" t="s">
        <v>294</v>
      </c>
      <c r="F82" s="1" t="s">
        <v>697</v>
      </c>
      <c r="G82" s="1" t="s">
        <v>698</v>
      </c>
      <c r="H82" s="1" t="s">
        <v>7</v>
      </c>
      <c r="I82" s="67">
        <v>1</v>
      </c>
      <c r="J82" s="67">
        <v>0</v>
      </c>
      <c r="K82">
        <v>0</v>
      </c>
      <c r="L82" s="67">
        <v>0</v>
      </c>
      <c r="M82" s="67">
        <v>0</v>
      </c>
      <c r="N82" s="67">
        <v>0</v>
      </c>
      <c r="O82" s="67">
        <f>SUM(Soruce_file_2[[#This Row],[Overspeed]:[Yawning]])</f>
        <v>1</v>
      </c>
    </row>
    <row r="83" spans="1:15">
      <c r="A83">
        <v>291</v>
      </c>
      <c r="B83" s="2">
        <v>46092</v>
      </c>
      <c r="C83" s="1" t="s">
        <v>310</v>
      </c>
      <c r="D83" s="1" t="s">
        <v>259</v>
      </c>
      <c r="E83" s="1" t="s">
        <v>315</v>
      </c>
      <c r="F83" s="1" t="s">
        <v>699</v>
      </c>
      <c r="G83" s="1" t="s">
        <v>700</v>
      </c>
      <c r="H83" s="1" t="s">
        <v>260</v>
      </c>
      <c r="I83" s="67">
        <v>0</v>
      </c>
      <c r="J83" s="67">
        <v>1</v>
      </c>
      <c r="K83">
        <v>0</v>
      </c>
      <c r="L83" s="67">
        <v>0</v>
      </c>
      <c r="M83" s="67">
        <v>0</v>
      </c>
      <c r="N83" s="67">
        <v>0</v>
      </c>
      <c r="O83" s="67">
        <f>SUM(Soruce_file_2[[#This Row],[Overspeed]:[Yawning]])</f>
        <v>1</v>
      </c>
    </row>
    <row r="84" spans="1:15">
      <c r="A84">
        <v>299</v>
      </c>
      <c r="B84" s="2">
        <v>46092</v>
      </c>
      <c r="C84" s="1" t="s">
        <v>118</v>
      </c>
      <c r="D84" s="1" t="s">
        <v>130</v>
      </c>
      <c r="E84" s="1" t="s">
        <v>294</v>
      </c>
      <c r="F84" s="1" t="s">
        <v>182</v>
      </c>
      <c r="G84" s="1" t="s">
        <v>158</v>
      </c>
      <c r="H84" s="1" t="s">
        <v>7</v>
      </c>
      <c r="I84" s="67">
        <v>0</v>
      </c>
      <c r="J84" s="67">
        <v>0</v>
      </c>
      <c r="K84">
        <v>0</v>
      </c>
      <c r="L84" s="67">
        <v>1</v>
      </c>
      <c r="M84" s="67">
        <v>0</v>
      </c>
      <c r="N84" s="67">
        <v>0</v>
      </c>
      <c r="O84" s="67">
        <f>SUM(Soruce_file_2[[#This Row],[Overspeed]:[Yawning]])</f>
        <v>1</v>
      </c>
    </row>
    <row r="85" spans="1:15">
      <c r="A85">
        <v>301</v>
      </c>
      <c r="B85" s="2">
        <v>46092</v>
      </c>
      <c r="C85" s="1" t="s">
        <v>5</v>
      </c>
      <c r="D85" s="1" t="s">
        <v>180</v>
      </c>
      <c r="E85" s="1" t="s">
        <v>294</v>
      </c>
      <c r="F85" s="1" t="s">
        <v>701</v>
      </c>
      <c r="G85" s="1" t="s">
        <v>702</v>
      </c>
      <c r="H85" s="1" t="s">
        <v>18</v>
      </c>
      <c r="I85" s="67">
        <v>0</v>
      </c>
      <c r="J85" s="67">
        <v>0</v>
      </c>
      <c r="K85">
        <v>0</v>
      </c>
      <c r="L85" s="67">
        <v>0</v>
      </c>
      <c r="M85" s="67">
        <v>1</v>
      </c>
      <c r="N85" s="67">
        <v>0</v>
      </c>
      <c r="O85" s="67">
        <f>SUM(Soruce_file_2[[#This Row],[Overspeed]:[Yawning]])</f>
        <v>1</v>
      </c>
    </row>
    <row r="86" spans="1:15">
      <c r="A86">
        <v>302</v>
      </c>
      <c r="B86" s="2">
        <v>46092</v>
      </c>
      <c r="C86" s="1" t="s">
        <v>5</v>
      </c>
      <c r="D86" s="1" t="s">
        <v>235</v>
      </c>
      <c r="E86" s="1" t="s">
        <v>315</v>
      </c>
      <c r="F86" s="1" t="s">
        <v>703</v>
      </c>
      <c r="G86" s="1" t="s">
        <v>704</v>
      </c>
      <c r="H86" s="1" t="s">
        <v>21</v>
      </c>
      <c r="I86" s="67">
        <v>0</v>
      </c>
      <c r="J86" s="67">
        <v>1</v>
      </c>
      <c r="K86">
        <v>0</v>
      </c>
      <c r="L86" s="67">
        <v>0</v>
      </c>
      <c r="M86" s="67">
        <v>0</v>
      </c>
      <c r="N86" s="67">
        <v>0</v>
      </c>
      <c r="O86" s="67">
        <f>SUM(Soruce_file_2[[#This Row],[Overspeed]:[Yawning]])</f>
        <v>1</v>
      </c>
    </row>
    <row r="87" spans="1:15">
      <c r="A87">
        <v>303</v>
      </c>
      <c r="B87" s="2">
        <v>46092</v>
      </c>
      <c r="C87" s="1" t="s">
        <v>310</v>
      </c>
      <c r="D87" s="1" t="s">
        <v>458</v>
      </c>
      <c r="E87" s="1" t="s">
        <v>315</v>
      </c>
      <c r="F87" s="1" t="s">
        <v>705</v>
      </c>
      <c r="G87" s="1" t="s">
        <v>706</v>
      </c>
      <c r="H87" s="1" t="s">
        <v>459</v>
      </c>
      <c r="I87" s="67">
        <v>0</v>
      </c>
      <c r="J87" s="67">
        <v>1</v>
      </c>
      <c r="K87">
        <v>0</v>
      </c>
      <c r="L87" s="67">
        <v>0</v>
      </c>
      <c r="M87" s="67">
        <v>0</v>
      </c>
      <c r="N87" s="67">
        <v>0</v>
      </c>
      <c r="O87" s="67">
        <f>SUM(Soruce_file_2[[#This Row],[Overspeed]:[Yawning]])</f>
        <v>1</v>
      </c>
    </row>
    <row r="88" spans="1:15">
      <c r="A88">
        <v>305</v>
      </c>
      <c r="B88" s="2">
        <v>46092</v>
      </c>
      <c r="C88" s="1" t="s">
        <v>5</v>
      </c>
      <c r="D88" s="1" t="s">
        <v>17</v>
      </c>
      <c r="E88" s="1" t="s">
        <v>294</v>
      </c>
      <c r="F88" s="1" t="s">
        <v>707</v>
      </c>
      <c r="G88" s="1" t="s">
        <v>708</v>
      </c>
      <c r="H88" s="1" t="s">
        <v>18</v>
      </c>
      <c r="I88" s="67">
        <v>0</v>
      </c>
      <c r="J88" s="67">
        <v>1</v>
      </c>
      <c r="K88">
        <v>0</v>
      </c>
      <c r="L88" s="67">
        <v>0</v>
      </c>
      <c r="M88" s="67">
        <v>0</v>
      </c>
      <c r="N88" s="67">
        <v>0</v>
      </c>
      <c r="O88" s="67">
        <f>SUM(Soruce_file_2[[#This Row],[Overspeed]:[Yawning]])</f>
        <v>1</v>
      </c>
    </row>
    <row r="89" spans="1:15">
      <c r="A89">
        <v>307</v>
      </c>
      <c r="B89" s="2">
        <v>46092</v>
      </c>
      <c r="C89" s="1" t="s">
        <v>5</v>
      </c>
      <c r="D89" s="1" t="s">
        <v>157</v>
      </c>
      <c r="E89" s="1" t="s">
        <v>294</v>
      </c>
      <c r="F89" s="1" t="s">
        <v>709</v>
      </c>
      <c r="G89" s="1" t="s">
        <v>710</v>
      </c>
      <c r="H89" s="1" t="s">
        <v>10</v>
      </c>
      <c r="I89" s="67">
        <v>0</v>
      </c>
      <c r="J89" s="67">
        <v>0</v>
      </c>
      <c r="K89">
        <v>0</v>
      </c>
      <c r="L89" s="67">
        <v>1</v>
      </c>
      <c r="M89" s="67">
        <v>0</v>
      </c>
      <c r="N89" s="67">
        <v>0</v>
      </c>
      <c r="O89" s="67">
        <f>SUM(Soruce_file_2[[#This Row],[Overspeed]:[Yawning]])</f>
        <v>1</v>
      </c>
    </row>
    <row r="90" spans="1:15">
      <c r="A90">
        <v>309</v>
      </c>
      <c r="B90" s="2">
        <v>46092</v>
      </c>
      <c r="C90" s="1" t="s">
        <v>310</v>
      </c>
      <c r="D90" s="1" t="s">
        <v>258</v>
      </c>
      <c r="E90" s="1" t="s">
        <v>315</v>
      </c>
      <c r="F90" s="1" t="s">
        <v>663</v>
      </c>
      <c r="G90" s="1" t="s">
        <v>608</v>
      </c>
      <c r="H90" s="1" t="s">
        <v>147</v>
      </c>
      <c r="I90" s="67">
        <v>0</v>
      </c>
      <c r="J90" s="67">
        <v>1</v>
      </c>
      <c r="K90">
        <v>0</v>
      </c>
      <c r="L90" s="67">
        <v>0</v>
      </c>
      <c r="M90" s="67">
        <v>0</v>
      </c>
      <c r="N90" s="67">
        <v>0</v>
      </c>
      <c r="O90" s="67">
        <f>SUM(Soruce_file_2[[#This Row],[Overspeed]:[Yawning]])</f>
        <v>1</v>
      </c>
    </row>
    <row r="91" spans="1:15">
      <c r="A91">
        <v>311</v>
      </c>
      <c r="B91" s="2">
        <v>46092</v>
      </c>
      <c r="C91" s="1" t="s">
        <v>5</v>
      </c>
      <c r="D91" s="1" t="s">
        <v>363</v>
      </c>
      <c r="E91" s="1" t="s">
        <v>315</v>
      </c>
      <c r="F91" s="1" t="s">
        <v>711</v>
      </c>
      <c r="G91" s="1" t="s">
        <v>712</v>
      </c>
      <c r="H91" s="1" t="s">
        <v>21</v>
      </c>
      <c r="I91" s="67">
        <v>0</v>
      </c>
      <c r="J91" s="67">
        <v>0</v>
      </c>
      <c r="K91">
        <v>0</v>
      </c>
      <c r="L91" s="67">
        <v>1</v>
      </c>
      <c r="M91" s="67">
        <v>0</v>
      </c>
      <c r="N91" s="67">
        <v>0</v>
      </c>
      <c r="O91" s="67">
        <f>SUM(Soruce_file_2[[#This Row],[Overspeed]:[Yawning]])</f>
        <v>1</v>
      </c>
    </row>
    <row r="92" spans="1:15">
      <c r="A92">
        <v>314</v>
      </c>
      <c r="B92" s="2">
        <v>46092</v>
      </c>
      <c r="C92" s="1" t="s">
        <v>480</v>
      </c>
      <c r="D92" s="1" t="s">
        <v>490</v>
      </c>
      <c r="E92" s="1" t="s">
        <v>315</v>
      </c>
      <c r="F92" s="1" t="s">
        <v>713</v>
      </c>
      <c r="G92" s="1" t="s">
        <v>714</v>
      </c>
      <c r="H92" s="1" t="s">
        <v>417</v>
      </c>
      <c r="I92" s="67">
        <v>0</v>
      </c>
      <c r="J92" s="67">
        <v>0</v>
      </c>
      <c r="K92">
        <v>1</v>
      </c>
      <c r="L92" s="67">
        <v>0</v>
      </c>
      <c r="M92" s="67">
        <v>0</v>
      </c>
      <c r="N92" s="67">
        <v>0</v>
      </c>
      <c r="O92" s="67">
        <f>SUM(Soruce_file_2[[#This Row],[Overspeed]:[Yawning]])</f>
        <v>1</v>
      </c>
    </row>
    <row r="93" spans="1:15">
      <c r="A93">
        <v>315</v>
      </c>
      <c r="B93" s="2">
        <v>46093</v>
      </c>
      <c r="C93" s="1" t="s">
        <v>5</v>
      </c>
      <c r="D93" s="1" t="s">
        <v>235</v>
      </c>
      <c r="E93" s="1" t="s">
        <v>315</v>
      </c>
      <c r="F93" s="1" t="s">
        <v>715</v>
      </c>
      <c r="G93" s="1" t="s">
        <v>704</v>
      </c>
      <c r="H93" s="1" t="s">
        <v>21</v>
      </c>
      <c r="I93" s="67">
        <v>0</v>
      </c>
      <c r="J93" s="67">
        <v>1</v>
      </c>
      <c r="K93">
        <v>0</v>
      </c>
      <c r="L93" s="67">
        <v>0</v>
      </c>
      <c r="M93" s="67">
        <v>0</v>
      </c>
      <c r="N93" s="67">
        <v>0</v>
      </c>
      <c r="O93" s="67">
        <f>SUM(Soruce_file_2[[#This Row],[Overspeed]:[Yawning]])</f>
        <v>1</v>
      </c>
    </row>
    <row r="94" spans="1:15">
      <c r="A94">
        <v>318</v>
      </c>
      <c r="B94" s="2">
        <v>46093</v>
      </c>
      <c r="C94" s="1" t="s">
        <v>5</v>
      </c>
      <c r="D94" s="1" t="s">
        <v>172</v>
      </c>
      <c r="E94" s="1" t="s">
        <v>315</v>
      </c>
      <c r="F94" s="1" t="s">
        <v>716</v>
      </c>
      <c r="G94" s="1" t="s">
        <v>717</v>
      </c>
      <c r="H94" s="1" t="s">
        <v>47</v>
      </c>
      <c r="I94" s="67">
        <v>0</v>
      </c>
      <c r="J94" s="67">
        <v>0</v>
      </c>
      <c r="K94">
        <v>1</v>
      </c>
      <c r="L94" s="67">
        <v>0</v>
      </c>
      <c r="M94" s="67">
        <v>0</v>
      </c>
      <c r="N94" s="67">
        <v>0</v>
      </c>
      <c r="O94" s="67">
        <f>SUM(Soruce_file_2[[#This Row],[Overspeed]:[Yawning]])</f>
        <v>1</v>
      </c>
    </row>
    <row r="95" spans="1:15">
      <c r="A95">
        <v>320</v>
      </c>
      <c r="B95" s="2">
        <v>46093</v>
      </c>
      <c r="C95" s="1" t="s">
        <v>310</v>
      </c>
      <c r="D95" s="1" t="s">
        <v>311</v>
      </c>
      <c r="E95" s="1" t="s">
        <v>294</v>
      </c>
      <c r="F95" s="1" t="s">
        <v>718</v>
      </c>
      <c r="G95" s="1" t="s">
        <v>719</v>
      </c>
      <c r="H95" s="1" t="s">
        <v>7</v>
      </c>
      <c r="I95" s="67">
        <v>0</v>
      </c>
      <c r="J95" s="67">
        <v>0</v>
      </c>
      <c r="K95">
        <v>1</v>
      </c>
      <c r="L95" s="67">
        <v>0</v>
      </c>
      <c r="M95" s="67">
        <v>0</v>
      </c>
      <c r="N95" s="67">
        <v>0</v>
      </c>
      <c r="O95" s="67">
        <f>SUM(Soruce_file_2[[#This Row],[Overspeed]:[Yawning]])</f>
        <v>1</v>
      </c>
    </row>
    <row r="96" spans="1:15">
      <c r="A96">
        <v>321</v>
      </c>
      <c r="B96" s="2">
        <v>46093</v>
      </c>
      <c r="C96" s="1" t="s">
        <v>310</v>
      </c>
      <c r="D96" s="1" t="s">
        <v>357</v>
      </c>
      <c r="E96" s="1" t="s">
        <v>315</v>
      </c>
      <c r="F96" s="1" t="s">
        <v>720</v>
      </c>
      <c r="G96" s="1" t="s">
        <v>721</v>
      </c>
      <c r="H96" s="1" t="s">
        <v>128</v>
      </c>
      <c r="I96" s="67">
        <v>0</v>
      </c>
      <c r="J96" s="67">
        <v>0</v>
      </c>
      <c r="K96">
        <v>1</v>
      </c>
      <c r="L96" s="67">
        <v>0</v>
      </c>
      <c r="M96" s="67">
        <v>0</v>
      </c>
      <c r="N96" s="67">
        <v>0</v>
      </c>
      <c r="O96" s="67">
        <f>SUM(Soruce_file_2[[#This Row],[Overspeed]:[Yawning]])</f>
        <v>1</v>
      </c>
    </row>
    <row r="97" spans="1:15">
      <c r="A97">
        <v>322</v>
      </c>
      <c r="B97" s="2">
        <v>46093</v>
      </c>
      <c r="C97" s="1" t="s">
        <v>480</v>
      </c>
      <c r="D97" s="1" t="s">
        <v>491</v>
      </c>
      <c r="E97" s="1" t="s">
        <v>315</v>
      </c>
      <c r="F97" s="1" t="s">
        <v>722</v>
      </c>
      <c r="G97" s="1" t="s">
        <v>723</v>
      </c>
      <c r="H97" s="1" t="s">
        <v>417</v>
      </c>
      <c r="I97" s="67">
        <v>0</v>
      </c>
      <c r="J97" s="67">
        <v>0</v>
      </c>
      <c r="K97">
        <v>0</v>
      </c>
      <c r="L97" s="67">
        <v>0</v>
      </c>
      <c r="M97" s="67">
        <v>0</v>
      </c>
      <c r="N97" s="67">
        <v>1</v>
      </c>
      <c r="O97" s="67">
        <f>SUM(Soruce_file_2[[#This Row],[Overspeed]:[Yawning]])</f>
        <v>1</v>
      </c>
    </row>
    <row r="98" spans="1:15">
      <c r="A98">
        <v>324</v>
      </c>
      <c r="B98" s="2">
        <v>46093</v>
      </c>
      <c r="C98" s="1" t="s">
        <v>13</v>
      </c>
      <c r="D98" s="1" t="s">
        <v>108</v>
      </c>
      <c r="E98" s="1" t="s">
        <v>315</v>
      </c>
      <c r="F98" s="1" t="s">
        <v>109</v>
      </c>
      <c r="G98" s="1" t="s">
        <v>110</v>
      </c>
      <c r="H98" s="1" t="s">
        <v>15</v>
      </c>
      <c r="I98" s="67">
        <v>0</v>
      </c>
      <c r="J98" s="67">
        <v>0</v>
      </c>
      <c r="K98">
        <v>0</v>
      </c>
      <c r="L98" s="67">
        <v>0</v>
      </c>
      <c r="M98" s="67">
        <v>0</v>
      </c>
      <c r="N98" s="67">
        <v>1</v>
      </c>
      <c r="O98" s="67">
        <f>SUM(Soruce_file_2[[#This Row],[Overspeed]:[Yawning]])</f>
        <v>1</v>
      </c>
    </row>
    <row r="99" spans="1:15">
      <c r="A99">
        <v>327</v>
      </c>
      <c r="B99" s="2">
        <v>46093</v>
      </c>
      <c r="C99" s="1" t="s">
        <v>80</v>
      </c>
      <c r="D99" s="1" t="s">
        <v>81</v>
      </c>
      <c r="E99" s="1" t="s">
        <v>294</v>
      </c>
      <c r="F99" s="1" t="s">
        <v>257</v>
      </c>
      <c r="G99" s="1" t="s">
        <v>82</v>
      </c>
      <c r="H99" s="1" t="s">
        <v>7</v>
      </c>
      <c r="I99" s="67">
        <v>1</v>
      </c>
      <c r="J99" s="67">
        <v>0</v>
      </c>
      <c r="K99">
        <v>0</v>
      </c>
      <c r="L99" s="67">
        <v>0</v>
      </c>
      <c r="M99" s="67">
        <v>0</v>
      </c>
      <c r="N99" s="67">
        <v>0</v>
      </c>
      <c r="O99" s="67">
        <f>SUM(Soruce_file_2[[#This Row],[Overspeed]:[Yawning]])</f>
        <v>1</v>
      </c>
    </row>
    <row r="100" spans="1:15">
      <c r="A100">
        <v>328</v>
      </c>
      <c r="B100" s="2">
        <v>46093</v>
      </c>
      <c r="C100" s="1" t="s">
        <v>5</v>
      </c>
      <c r="D100" s="1" t="s">
        <v>242</v>
      </c>
      <c r="E100" s="1" t="s">
        <v>315</v>
      </c>
      <c r="F100" s="1" t="s">
        <v>234</v>
      </c>
      <c r="G100" s="1" t="s">
        <v>223</v>
      </c>
      <c r="H100" s="1" t="s">
        <v>15</v>
      </c>
      <c r="I100" s="67">
        <v>0</v>
      </c>
      <c r="J100" s="67">
        <v>1</v>
      </c>
      <c r="K100">
        <v>0</v>
      </c>
      <c r="L100" s="67">
        <v>0</v>
      </c>
      <c r="M100" s="67">
        <v>0</v>
      </c>
      <c r="N100" s="67">
        <v>0</v>
      </c>
      <c r="O100" s="67">
        <f>SUM(Soruce_file_2[[#This Row],[Overspeed]:[Yawning]])</f>
        <v>1</v>
      </c>
    </row>
    <row r="101" spans="1:15">
      <c r="A101">
        <v>332</v>
      </c>
      <c r="B101" s="2">
        <v>46093</v>
      </c>
      <c r="C101" s="1" t="s">
        <v>13</v>
      </c>
      <c r="D101" s="1" t="s">
        <v>77</v>
      </c>
      <c r="E101" s="1" t="s">
        <v>315</v>
      </c>
      <c r="F101" s="1" t="s">
        <v>724</v>
      </c>
      <c r="G101" s="1" t="s">
        <v>725</v>
      </c>
      <c r="H101" s="1" t="s">
        <v>15</v>
      </c>
      <c r="I101" s="67">
        <v>1</v>
      </c>
      <c r="J101" s="67">
        <v>0</v>
      </c>
      <c r="K101">
        <v>0</v>
      </c>
      <c r="L101" s="67">
        <v>0</v>
      </c>
      <c r="M101" s="67">
        <v>0</v>
      </c>
      <c r="N101" s="67">
        <v>0</v>
      </c>
      <c r="O101" s="67">
        <f>SUM(Soruce_file_2[[#This Row],[Overspeed]:[Yawning]])</f>
        <v>1</v>
      </c>
    </row>
    <row r="102" spans="1:15">
      <c r="A102">
        <v>335</v>
      </c>
      <c r="B102" s="2">
        <v>46093</v>
      </c>
      <c r="C102" s="1" t="s">
        <v>13</v>
      </c>
      <c r="D102" s="1" t="s">
        <v>148</v>
      </c>
      <c r="E102" s="1" t="s">
        <v>315</v>
      </c>
      <c r="F102" s="1" t="s">
        <v>726</v>
      </c>
      <c r="G102" s="1" t="s">
        <v>727</v>
      </c>
      <c r="H102" s="1" t="s">
        <v>15</v>
      </c>
      <c r="I102" s="67">
        <v>0</v>
      </c>
      <c r="J102" s="67">
        <v>1</v>
      </c>
      <c r="K102">
        <v>0</v>
      </c>
      <c r="L102" s="67">
        <v>0</v>
      </c>
      <c r="M102" s="67">
        <v>0</v>
      </c>
      <c r="N102" s="67">
        <v>0</v>
      </c>
      <c r="O102" s="67">
        <f>SUM(Soruce_file_2[[#This Row],[Overspeed]:[Yawning]])</f>
        <v>1</v>
      </c>
    </row>
    <row r="103" spans="1:15">
      <c r="A103">
        <v>337</v>
      </c>
      <c r="B103" s="2">
        <v>46093</v>
      </c>
      <c r="C103" s="1" t="s">
        <v>310</v>
      </c>
      <c r="D103" s="1" t="s">
        <v>475</v>
      </c>
      <c r="E103" s="1" t="s">
        <v>315</v>
      </c>
      <c r="F103" s="1" t="s">
        <v>728</v>
      </c>
      <c r="G103" s="1" t="s">
        <v>729</v>
      </c>
      <c r="H103" s="1" t="s">
        <v>417</v>
      </c>
      <c r="I103" s="67">
        <v>0</v>
      </c>
      <c r="J103" s="67">
        <v>0</v>
      </c>
      <c r="K103">
        <v>0</v>
      </c>
      <c r="L103" s="67">
        <v>0</v>
      </c>
      <c r="M103" s="67">
        <v>1</v>
      </c>
      <c r="N103" s="67">
        <v>0</v>
      </c>
      <c r="O103" s="67">
        <f>SUM(Soruce_file_2[[#This Row],[Overspeed]:[Yawning]])</f>
        <v>1</v>
      </c>
    </row>
    <row r="104" spans="1:15">
      <c r="A104">
        <v>338</v>
      </c>
      <c r="B104" s="2">
        <v>46093</v>
      </c>
      <c r="C104" s="1" t="s">
        <v>37</v>
      </c>
      <c r="D104" s="1" t="s">
        <v>38</v>
      </c>
      <c r="E104" s="1" t="s">
        <v>315</v>
      </c>
      <c r="F104" s="1" t="s">
        <v>215</v>
      </c>
      <c r="G104" s="1" t="s">
        <v>39</v>
      </c>
      <c r="H104" s="1" t="s">
        <v>21</v>
      </c>
      <c r="I104" s="67">
        <v>0</v>
      </c>
      <c r="J104" s="67">
        <v>1</v>
      </c>
      <c r="K104">
        <v>0</v>
      </c>
      <c r="L104" s="67">
        <v>0</v>
      </c>
      <c r="M104" s="67">
        <v>0</v>
      </c>
      <c r="N104" s="67">
        <v>0</v>
      </c>
      <c r="O104" s="67">
        <f>SUM(Soruce_file_2[[#This Row],[Overspeed]:[Yawning]])</f>
        <v>1</v>
      </c>
    </row>
    <row r="105" spans="1:15">
      <c r="A105">
        <v>347</v>
      </c>
      <c r="B105" s="2">
        <v>46093</v>
      </c>
      <c r="C105" s="1" t="s">
        <v>5</v>
      </c>
      <c r="D105" s="1" t="s">
        <v>6</v>
      </c>
      <c r="E105" s="1" t="s">
        <v>294</v>
      </c>
      <c r="F105" s="1" t="s">
        <v>730</v>
      </c>
      <c r="G105" s="1" t="s">
        <v>731</v>
      </c>
      <c r="H105" s="1" t="s">
        <v>7</v>
      </c>
      <c r="I105" s="67">
        <v>0</v>
      </c>
      <c r="J105" s="67">
        <v>1</v>
      </c>
      <c r="K105">
        <v>0</v>
      </c>
      <c r="L105" s="67">
        <v>0</v>
      </c>
      <c r="M105" s="67">
        <v>0</v>
      </c>
      <c r="N105" s="67">
        <v>0</v>
      </c>
      <c r="O105" s="67">
        <f>SUM(Soruce_file_2[[#This Row],[Overspeed]:[Yawning]])</f>
        <v>1</v>
      </c>
    </row>
    <row r="106" spans="1:15">
      <c r="A106">
        <v>348</v>
      </c>
      <c r="B106" s="2">
        <v>46093</v>
      </c>
      <c r="C106" s="1" t="s">
        <v>37</v>
      </c>
      <c r="D106" s="1" t="s">
        <v>281</v>
      </c>
      <c r="E106" s="1" t="s">
        <v>315</v>
      </c>
      <c r="F106" s="1" t="s">
        <v>282</v>
      </c>
      <c r="G106" s="1" t="s">
        <v>283</v>
      </c>
      <c r="H106" s="1" t="s">
        <v>21</v>
      </c>
      <c r="I106" s="67">
        <v>0</v>
      </c>
      <c r="J106" s="67">
        <v>1</v>
      </c>
      <c r="K106">
        <v>0</v>
      </c>
      <c r="L106" s="67">
        <v>0</v>
      </c>
      <c r="M106" s="67">
        <v>0</v>
      </c>
      <c r="N106" s="67">
        <v>0</v>
      </c>
      <c r="O106" s="67">
        <f>SUM(Soruce_file_2[[#This Row],[Overspeed]:[Yawning]])</f>
        <v>1</v>
      </c>
    </row>
    <row r="107" spans="1:15">
      <c r="A107">
        <v>349</v>
      </c>
      <c r="B107" s="2">
        <v>46093</v>
      </c>
      <c r="C107" s="1" t="s">
        <v>13</v>
      </c>
      <c r="D107" s="1" t="s">
        <v>264</v>
      </c>
      <c r="E107" s="1" t="s">
        <v>315</v>
      </c>
      <c r="F107" s="1" t="s">
        <v>206</v>
      </c>
      <c r="G107" s="1" t="s">
        <v>207</v>
      </c>
      <c r="H107" s="1" t="s">
        <v>15</v>
      </c>
      <c r="I107" s="67">
        <v>0</v>
      </c>
      <c r="J107" s="67">
        <v>1</v>
      </c>
      <c r="K107">
        <v>0</v>
      </c>
      <c r="L107" s="67">
        <v>0</v>
      </c>
      <c r="M107" s="67">
        <v>0</v>
      </c>
      <c r="N107" s="67">
        <v>0</v>
      </c>
      <c r="O107" s="67">
        <f>SUM(Soruce_file_2[[#This Row],[Overspeed]:[Yawning]])</f>
        <v>1</v>
      </c>
    </row>
    <row r="108" spans="1:15">
      <c r="A108">
        <v>361</v>
      </c>
      <c r="B108" s="2">
        <v>46094</v>
      </c>
      <c r="C108" s="1" t="s">
        <v>118</v>
      </c>
      <c r="D108" s="1" t="s">
        <v>732</v>
      </c>
      <c r="E108" s="1" t="s">
        <v>294</v>
      </c>
      <c r="F108" s="1" t="s">
        <v>733</v>
      </c>
      <c r="G108" s="1" t="s">
        <v>734</v>
      </c>
      <c r="H108" s="1" t="s">
        <v>18</v>
      </c>
      <c r="I108" s="67">
        <v>0</v>
      </c>
      <c r="J108" s="67">
        <v>1</v>
      </c>
      <c r="K108">
        <v>0</v>
      </c>
      <c r="L108" s="67">
        <v>0</v>
      </c>
      <c r="M108" s="67">
        <v>0</v>
      </c>
      <c r="N108" s="67">
        <v>0</v>
      </c>
      <c r="O108" s="67">
        <f>SUM(Soruce_file_2[[#This Row],[Overspeed]:[Yawning]])</f>
        <v>1</v>
      </c>
    </row>
    <row r="109" spans="1:15">
      <c r="A109">
        <v>370</v>
      </c>
      <c r="B109" s="2">
        <v>46094</v>
      </c>
      <c r="C109" s="1" t="s">
        <v>118</v>
      </c>
      <c r="D109" s="1" t="s">
        <v>313</v>
      </c>
      <c r="E109" s="1" t="s">
        <v>294</v>
      </c>
      <c r="F109" s="1" t="s">
        <v>735</v>
      </c>
      <c r="G109" s="1" t="s">
        <v>736</v>
      </c>
      <c r="H109" s="1" t="s">
        <v>10</v>
      </c>
      <c r="I109" s="67">
        <v>0</v>
      </c>
      <c r="J109" s="67">
        <v>0</v>
      </c>
      <c r="K109">
        <v>0</v>
      </c>
      <c r="L109" s="67">
        <v>1</v>
      </c>
      <c r="M109" s="67">
        <v>0</v>
      </c>
      <c r="N109" s="67">
        <v>0</v>
      </c>
      <c r="O109" s="67">
        <f>SUM(Soruce_file_2[[#This Row],[Overspeed]:[Yawning]])</f>
        <v>1</v>
      </c>
    </row>
    <row r="110" spans="1:15">
      <c r="A110">
        <v>371</v>
      </c>
      <c r="B110" s="2">
        <v>46094</v>
      </c>
      <c r="C110" s="1" t="s">
        <v>37</v>
      </c>
      <c r="D110" s="1" t="s">
        <v>38</v>
      </c>
      <c r="E110" s="1" t="s">
        <v>315</v>
      </c>
      <c r="F110" s="1" t="s">
        <v>215</v>
      </c>
      <c r="G110" s="1" t="s">
        <v>39</v>
      </c>
      <c r="H110" s="1" t="s">
        <v>21</v>
      </c>
      <c r="I110" s="67">
        <v>0</v>
      </c>
      <c r="J110" s="67">
        <v>1</v>
      </c>
      <c r="K110">
        <v>0</v>
      </c>
      <c r="L110" s="67">
        <v>0</v>
      </c>
      <c r="M110" s="67">
        <v>0</v>
      </c>
      <c r="N110" s="67">
        <v>0</v>
      </c>
      <c r="O110" s="67">
        <f>SUM(Soruce_file_2[[#This Row],[Overspeed]:[Yawning]])</f>
        <v>1</v>
      </c>
    </row>
    <row r="111" spans="1:15">
      <c r="A111">
        <v>380</v>
      </c>
      <c r="B111" s="2">
        <v>46094</v>
      </c>
      <c r="C111" s="1" t="s">
        <v>144</v>
      </c>
      <c r="D111" s="1" t="s">
        <v>425</v>
      </c>
      <c r="E111" s="1" t="s">
        <v>315</v>
      </c>
      <c r="F111" s="1" t="s">
        <v>737</v>
      </c>
      <c r="G111" s="1" t="s">
        <v>738</v>
      </c>
      <c r="H111" s="1" t="s">
        <v>260</v>
      </c>
      <c r="I111" s="67">
        <v>0</v>
      </c>
      <c r="J111" s="67">
        <v>1</v>
      </c>
      <c r="K111">
        <v>0</v>
      </c>
      <c r="L111" s="67">
        <v>0</v>
      </c>
      <c r="M111" s="67">
        <v>0</v>
      </c>
      <c r="N111" s="67">
        <v>0</v>
      </c>
      <c r="O111" s="67">
        <f>SUM(Soruce_file_2[[#This Row],[Overspeed]:[Yawning]])</f>
        <v>1</v>
      </c>
    </row>
    <row r="112" spans="1:15">
      <c r="A112">
        <v>384</v>
      </c>
      <c r="B112" s="2">
        <v>46094</v>
      </c>
      <c r="C112" s="1" t="s">
        <v>310</v>
      </c>
      <c r="D112" s="1" t="s">
        <v>474</v>
      </c>
      <c r="E112" s="1" t="s">
        <v>315</v>
      </c>
      <c r="F112" s="1" t="s">
        <v>739</v>
      </c>
      <c r="G112" s="1" t="s">
        <v>740</v>
      </c>
      <c r="H112" s="1" t="s">
        <v>417</v>
      </c>
      <c r="I112" s="67">
        <v>0</v>
      </c>
      <c r="J112" s="67">
        <v>1</v>
      </c>
      <c r="K112">
        <v>0</v>
      </c>
      <c r="L112" s="67">
        <v>0</v>
      </c>
      <c r="M112" s="67">
        <v>0</v>
      </c>
      <c r="N112" s="67">
        <v>0</v>
      </c>
      <c r="O112" s="67">
        <f>SUM(Soruce_file_2[[#This Row],[Overspeed]:[Yawning]])</f>
        <v>1</v>
      </c>
    </row>
    <row r="113" spans="1:15">
      <c r="A113">
        <v>387</v>
      </c>
      <c r="B113" s="2">
        <v>46095</v>
      </c>
      <c r="C113" s="1" t="s">
        <v>37</v>
      </c>
      <c r="D113" s="1" t="s">
        <v>550</v>
      </c>
      <c r="E113" s="1" t="s">
        <v>315</v>
      </c>
      <c r="F113" s="1" t="s">
        <v>741</v>
      </c>
      <c r="G113" s="1" t="s">
        <v>742</v>
      </c>
      <c r="H113" s="1" t="s">
        <v>29</v>
      </c>
      <c r="I113" s="67">
        <v>0</v>
      </c>
      <c r="J113" s="67">
        <v>0</v>
      </c>
      <c r="K113">
        <v>1</v>
      </c>
      <c r="L113" s="67">
        <v>0</v>
      </c>
      <c r="M113" s="67">
        <v>0</v>
      </c>
      <c r="N113" s="67">
        <v>0</v>
      </c>
      <c r="O113" s="67">
        <f>SUM(Soruce_file_2[[#This Row],[Overspeed]:[Yawning]])</f>
        <v>1</v>
      </c>
    </row>
    <row r="114" spans="1:15">
      <c r="A114">
        <v>388</v>
      </c>
      <c r="B114" s="2">
        <v>46095</v>
      </c>
      <c r="C114" s="1" t="s">
        <v>5</v>
      </c>
      <c r="D114" s="1" t="s">
        <v>388</v>
      </c>
      <c r="E114" s="1" t="s">
        <v>315</v>
      </c>
      <c r="F114" s="1" t="s">
        <v>743</v>
      </c>
      <c r="G114" s="1" t="s">
        <v>744</v>
      </c>
      <c r="H114" s="1" t="s">
        <v>47</v>
      </c>
      <c r="I114" s="67">
        <v>0</v>
      </c>
      <c r="J114" s="67">
        <v>0</v>
      </c>
      <c r="K114">
        <v>1</v>
      </c>
      <c r="L114" s="67">
        <v>0</v>
      </c>
      <c r="M114" s="67">
        <v>0</v>
      </c>
      <c r="N114" s="67">
        <v>0</v>
      </c>
      <c r="O114" s="67">
        <f>SUM(Soruce_file_2[[#This Row],[Overspeed]:[Yawning]])</f>
        <v>1</v>
      </c>
    </row>
    <row r="115" spans="1:15">
      <c r="A115">
        <v>390</v>
      </c>
      <c r="B115" s="2">
        <v>46095</v>
      </c>
      <c r="C115" s="1" t="s">
        <v>37</v>
      </c>
      <c r="D115" s="1" t="s">
        <v>267</v>
      </c>
      <c r="E115" s="1" t="s">
        <v>315</v>
      </c>
      <c r="F115" s="1" t="s">
        <v>745</v>
      </c>
      <c r="G115" s="1" t="s">
        <v>746</v>
      </c>
      <c r="H115" s="1" t="s">
        <v>21</v>
      </c>
      <c r="I115" s="67">
        <v>0</v>
      </c>
      <c r="J115" s="67">
        <v>1</v>
      </c>
      <c r="K115">
        <v>0</v>
      </c>
      <c r="L115" s="67">
        <v>0</v>
      </c>
      <c r="M115" s="67">
        <v>0</v>
      </c>
      <c r="N115" s="67">
        <v>0</v>
      </c>
      <c r="O115" s="67">
        <f>SUM(Soruce_file_2[[#This Row],[Overspeed]:[Yawning]])</f>
        <v>1</v>
      </c>
    </row>
    <row r="116" spans="1:15">
      <c r="A116">
        <v>401</v>
      </c>
      <c r="B116" s="2">
        <v>46095</v>
      </c>
      <c r="C116" s="1" t="s">
        <v>25</v>
      </c>
      <c r="D116" s="1" t="s">
        <v>535</v>
      </c>
      <c r="E116" s="1" t="s">
        <v>315</v>
      </c>
      <c r="F116" s="1" t="s">
        <v>747</v>
      </c>
      <c r="G116" s="1" t="s">
        <v>748</v>
      </c>
      <c r="H116" s="1" t="s">
        <v>260</v>
      </c>
      <c r="I116" s="67">
        <v>0</v>
      </c>
      <c r="J116" s="67">
        <v>1</v>
      </c>
      <c r="K116">
        <v>0</v>
      </c>
      <c r="L116" s="67">
        <v>0</v>
      </c>
      <c r="M116" s="67">
        <v>0</v>
      </c>
      <c r="N116" s="67">
        <v>0</v>
      </c>
      <c r="O116" s="67">
        <f>SUM(Soruce_file_2[[#This Row],[Overspeed]:[Yawning]])</f>
        <v>1</v>
      </c>
    </row>
    <row r="117" spans="1:15">
      <c r="A117">
        <v>408</v>
      </c>
      <c r="B117" s="2">
        <v>46095</v>
      </c>
      <c r="C117" s="1" t="s">
        <v>144</v>
      </c>
      <c r="D117" s="1" t="s">
        <v>145</v>
      </c>
      <c r="E117" s="1" t="s">
        <v>315</v>
      </c>
      <c r="F117" s="1" t="s">
        <v>749</v>
      </c>
      <c r="G117" s="1" t="s">
        <v>750</v>
      </c>
      <c r="H117" s="1" t="s">
        <v>27</v>
      </c>
      <c r="I117" s="67">
        <v>0</v>
      </c>
      <c r="J117" s="67">
        <v>1</v>
      </c>
      <c r="K117">
        <v>0</v>
      </c>
      <c r="L117" s="67">
        <v>0</v>
      </c>
      <c r="M117" s="67">
        <v>0</v>
      </c>
      <c r="N117" s="67">
        <v>0</v>
      </c>
      <c r="O117" s="67">
        <f>SUM(Soruce_file_2[[#This Row],[Overspeed]:[Yawning]])</f>
        <v>1</v>
      </c>
    </row>
    <row r="118" spans="1:15">
      <c r="A118">
        <v>412</v>
      </c>
      <c r="B118" s="2">
        <v>46095</v>
      </c>
      <c r="C118" s="1" t="s">
        <v>310</v>
      </c>
      <c r="D118" s="1" t="s">
        <v>533</v>
      </c>
      <c r="E118" s="1" t="s">
        <v>315</v>
      </c>
      <c r="F118" s="1" t="s">
        <v>751</v>
      </c>
      <c r="G118" s="1" t="s">
        <v>752</v>
      </c>
      <c r="H118" s="1" t="s">
        <v>260</v>
      </c>
      <c r="I118" s="67">
        <v>0</v>
      </c>
      <c r="J118" s="67">
        <v>1</v>
      </c>
      <c r="K118">
        <v>0</v>
      </c>
      <c r="L118" s="67">
        <v>0</v>
      </c>
      <c r="M118" s="67">
        <v>0</v>
      </c>
      <c r="N118" s="67">
        <v>0</v>
      </c>
      <c r="O118" s="67">
        <f>SUM(Soruce_file_2[[#This Row],[Overspeed]:[Yawning]])</f>
        <v>1</v>
      </c>
    </row>
    <row r="119" spans="1:15">
      <c r="A119">
        <v>421</v>
      </c>
      <c r="B119" s="2">
        <v>46095</v>
      </c>
      <c r="C119" s="1" t="s">
        <v>144</v>
      </c>
      <c r="D119" s="1" t="s">
        <v>451</v>
      </c>
      <c r="E119" s="1" t="s">
        <v>315</v>
      </c>
      <c r="F119" s="1" t="s">
        <v>753</v>
      </c>
      <c r="G119" s="1" t="s">
        <v>754</v>
      </c>
      <c r="H119" s="1" t="s">
        <v>417</v>
      </c>
      <c r="I119" s="67">
        <v>0</v>
      </c>
      <c r="J119" s="67">
        <v>1</v>
      </c>
      <c r="K119">
        <v>0</v>
      </c>
      <c r="L119" s="67">
        <v>0</v>
      </c>
      <c r="M119" s="67">
        <v>0</v>
      </c>
      <c r="N119" s="67">
        <v>0</v>
      </c>
      <c r="O119" s="67">
        <f>SUM(Soruce_file_2[[#This Row],[Overspeed]:[Yawning]])</f>
        <v>1</v>
      </c>
    </row>
    <row r="120" spans="1:15">
      <c r="A120">
        <v>423</v>
      </c>
      <c r="B120" s="2">
        <v>46095</v>
      </c>
      <c r="C120" s="1" t="s">
        <v>310</v>
      </c>
      <c r="D120" s="1" t="s">
        <v>534</v>
      </c>
      <c r="E120" s="1" t="s">
        <v>315</v>
      </c>
      <c r="F120" s="1" t="s">
        <v>755</v>
      </c>
      <c r="G120" s="1" t="s">
        <v>756</v>
      </c>
      <c r="H120" s="1" t="s">
        <v>260</v>
      </c>
      <c r="I120" s="67">
        <v>0</v>
      </c>
      <c r="J120" s="67">
        <v>1</v>
      </c>
      <c r="K120">
        <v>0</v>
      </c>
      <c r="L120" s="67">
        <v>0</v>
      </c>
      <c r="M120" s="67">
        <v>0</v>
      </c>
      <c r="N120" s="67">
        <v>0</v>
      </c>
      <c r="O120" s="67">
        <f>SUM(Soruce_file_2[[#This Row],[Overspeed]:[Yawning]])</f>
        <v>1</v>
      </c>
    </row>
    <row r="121" spans="1:15">
      <c r="A121">
        <v>424</v>
      </c>
      <c r="B121" s="2">
        <v>46096</v>
      </c>
      <c r="C121" s="1" t="s">
        <v>5</v>
      </c>
      <c r="D121" s="1" t="s">
        <v>64</v>
      </c>
      <c r="E121" s="1" t="s">
        <v>294</v>
      </c>
      <c r="F121" s="1" t="s">
        <v>621</v>
      </c>
      <c r="G121" s="1" t="s">
        <v>622</v>
      </c>
      <c r="H121" s="1" t="s">
        <v>757</v>
      </c>
      <c r="I121" s="67">
        <v>0</v>
      </c>
      <c r="J121" s="67">
        <v>1</v>
      </c>
      <c r="K121">
        <v>0</v>
      </c>
      <c r="L121" s="67">
        <v>0</v>
      </c>
      <c r="M121" s="67">
        <v>0</v>
      </c>
      <c r="N121" s="67">
        <v>0</v>
      </c>
      <c r="O121" s="67">
        <f>SUM(Soruce_file_2[[#This Row],[Overspeed]:[Yawning]])</f>
        <v>1</v>
      </c>
    </row>
    <row r="122" spans="1:15">
      <c r="A122">
        <v>435</v>
      </c>
      <c r="B122" s="2">
        <v>46096</v>
      </c>
      <c r="C122" s="1" t="s">
        <v>144</v>
      </c>
      <c r="D122" s="1" t="s">
        <v>453</v>
      </c>
      <c r="E122" s="1" t="s">
        <v>315</v>
      </c>
      <c r="F122" s="1" t="s">
        <v>758</v>
      </c>
      <c r="G122" s="1" t="s">
        <v>759</v>
      </c>
      <c r="H122" s="1" t="s">
        <v>417</v>
      </c>
      <c r="I122" s="67">
        <v>0</v>
      </c>
      <c r="J122" s="67">
        <v>1</v>
      </c>
      <c r="K122">
        <v>0</v>
      </c>
      <c r="L122" s="67">
        <v>0</v>
      </c>
      <c r="M122" s="67">
        <v>0</v>
      </c>
      <c r="N122" s="67">
        <v>0</v>
      </c>
      <c r="O122" s="67">
        <f>SUM(Soruce_file_2[[#This Row],[Overspeed]:[Yawning]])</f>
        <v>1</v>
      </c>
    </row>
    <row r="123" spans="1:15">
      <c r="A123">
        <v>440</v>
      </c>
      <c r="B123" s="2">
        <v>46096</v>
      </c>
      <c r="C123" s="1" t="s">
        <v>144</v>
      </c>
      <c r="D123" s="1" t="s">
        <v>425</v>
      </c>
      <c r="E123" s="1" t="s">
        <v>315</v>
      </c>
      <c r="F123" s="1" t="s">
        <v>760</v>
      </c>
      <c r="G123" s="1" t="s">
        <v>738</v>
      </c>
      <c r="H123" s="1" t="s">
        <v>260</v>
      </c>
      <c r="I123" s="67">
        <v>0</v>
      </c>
      <c r="J123" s="67">
        <v>0</v>
      </c>
      <c r="K123">
        <v>0</v>
      </c>
      <c r="L123" s="67">
        <v>1</v>
      </c>
      <c r="M123" s="67">
        <v>0</v>
      </c>
      <c r="N123" s="67">
        <v>0</v>
      </c>
      <c r="O123" s="67">
        <f>SUM(Soruce_file_2[[#This Row],[Overspeed]:[Yawning]])</f>
        <v>1</v>
      </c>
    </row>
    <row r="124" spans="1:15">
      <c r="A124">
        <v>442</v>
      </c>
      <c r="B124" s="2">
        <v>46096</v>
      </c>
      <c r="C124" s="1" t="s">
        <v>5</v>
      </c>
      <c r="D124" s="1" t="s">
        <v>242</v>
      </c>
      <c r="E124" s="1" t="s">
        <v>315</v>
      </c>
      <c r="F124" s="1" t="s">
        <v>234</v>
      </c>
      <c r="G124" s="1" t="s">
        <v>223</v>
      </c>
      <c r="H124" s="1" t="s">
        <v>15</v>
      </c>
      <c r="I124" s="67">
        <v>0</v>
      </c>
      <c r="J124" s="67">
        <v>0</v>
      </c>
      <c r="K124">
        <v>0</v>
      </c>
      <c r="L124" s="67">
        <v>1</v>
      </c>
      <c r="M124" s="67">
        <v>0</v>
      </c>
      <c r="N124" s="67">
        <v>0</v>
      </c>
      <c r="O124" s="67">
        <f>SUM(Soruce_file_2[[#This Row],[Overspeed]:[Yawning]])</f>
        <v>1</v>
      </c>
    </row>
    <row r="125" spans="1:15">
      <c r="A125">
        <v>443</v>
      </c>
      <c r="B125" s="2">
        <v>46096</v>
      </c>
      <c r="C125" s="1" t="s">
        <v>5</v>
      </c>
      <c r="D125" s="1" t="s">
        <v>242</v>
      </c>
      <c r="E125" s="1" t="s">
        <v>315</v>
      </c>
      <c r="F125" s="1" t="s">
        <v>234</v>
      </c>
      <c r="G125" s="1" t="s">
        <v>223</v>
      </c>
      <c r="H125" s="1" t="s">
        <v>15</v>
      </c>
      <c r="I125" s="67">
        <v>0</v>
      </c>
      <c r="J125" s="67">
        <v>0</v>
      </c>
      <c r="K125">
        <v>0</v>
      </c>
      <c r="L125" s="67">
        <v>0</v>
      </c>
      <c r="M125" s="67">
        <v>1</v>
      </c>
      <c r="N125" s="67">
        <v>0</v>
      </c>
      <c r="O125" s="67">
        <f>SUM(Soruce_file_2[[#This Row],[Overspeed]:[Yawning]])</f>
        <v>1</v>
      </c>
    </row>
    <row r="126" spans="1:15">
      <c r="A126">
        <v>444</v>
      </c>
      <c r="B126" s="2">
        <v>46096</v>
      </c>
      <c r="C126" s="1" t="s">
        <v>5</v>
      </c>
      <c r="D126" s="1" t="s">
        <v>168</v>
      </c>
      <c r="E126" s="1" t="s">
        <v>315</v>
      </c>
      <c r="F126" s="1" t="s">
        <v>761</v>
      </c>
      <c r="G126" s="1" t="s">
        <v>762</v>
      </c>
      <c r="H126" s="1" t="s">
        <v>21</v>
      </c>
      <c r="I126" s="67">
        <v>0</v>
      </c>
      <c r="J126" s="67">
        <v>1</v>
      </c>
      <c r="K126">
        <v>0</v>
      </c>
      <c r="L126" s="67">
        <v>0</v>
      </c>
      <c r="M126" s="67">
        <v>0</v>
      </c>
      <c r="N126" s="67">
        <v>0</v>
      </c>
      <c r="O126" s="67">
        <f>SUM(Soruce_file_2[[#This Row],[Overspeed]:[Yawning]])</f>
        <v>1</v>
      </c>
    </row>
    <row r="127" spans="1:15">
      <c r="A127">
        <v>445</v>
      </c>
      <c r="B127" s="2">
        <v>46096</v>
      </c>
      <c r="C127" s="1" t="s">
        <v>310</v>
      </c>
      <c r="D127" s="1" t="s">
        <v>458</v>
      </c>
      <c r="E127" s="1" t="s">
        <v>315</v>
      </c>
      <c r="F127" s="1" t="s">
        <v>763</v>
      </c>
      <c r="G127" s="1" t="s">
        <v>764</v>
      </c>
      <c r="H127" s="1" t="s">
        <v>459</v>
      </c>
      <c r="I127" s="67">
        <v>0</v>
      </c>
      <c r="J127" s="67">
        <v>1</v>
      </c>
      <c r="K127">
        <v>0</v>
      </c>
      <c r="L127" s="67">
        <v>0</v>
      </c>
      <c r="M127" s="67">
        <v>0</v>
      </c>
      <c r="N127" s="67">
        <v>0</v>
      </c>
      <c r="O127" s="67">
        <f>SUM(Soruce_file_2[[#This Row],[Overspeed]:[Yawning]])</f>
        <v>1</v>
      </c>
    </row>
    <row r="128" spans="1:15">
      <c r="A128">
        <v>446</v>
      </c>
      <c r="B128" s="2">
        <v>46096</v>
      </c>
      <c r="C128" s="1" t="s">
        <v>144</v>
      </c>
      <c r="D128" s="1" t="s">
        <v>425</v>
      </c>
      <c r="E128" s="1" t="s">
        <v>315</v>
      </c>
      <c r="F128" s="1" t="s">
        <v>765</v>
      </c>
      <c r="G128" s="1" t="s">
        <v>766</v>
      </c>
      <c r="H128" s="1" t="s">
        <v>260</v>
      </c>
      <c r="I128" s="67">
        <v>0</v>
      </c>
      <c r="J128" s="67">
        <v>0</v>
      </c>
      <c r="K128">
        <v>0</v>
      </c>
      <c r="L128" s="67">
        <v>1</v>
      </c>
      <c r="M128" s="67">
        <v>0</v>
      </c>
      <c r="N128" s="67">
        <v>0</v>
      </c>
      <c r="O128" s="67">
        <f>SUM(Soruce_file_2[[#This Row],[Overspeed]:[Yawning]])</f>
        <v>1</v>
      </c>
    </row>
    <row r="129" spans="1:15">
      <c r="A129">
        <v>447</v>
      </c>
      <c r="B129" s="2">
        <v>46096</v>
      </c>
      <c r="C129" s="1" t="s">
        <v>25</v>
      </c>
      <c r="D129" s="1" t="s">
        <v>307</v>
      </c>
      <c r="E129" s="1" t="s">
        <v>294</v>
      </c>
      <c r="F129" s="1" t="s">
        <v>767</v>
      </c>
      <c r="G129" s="1" t="s">
        <v>768</v>
      </c>
      <c r="H129" s="1" t="s">
        <v>10</v>
      </c>
      <c r="I129" s="67">
        <v>0</v>
      </c>
      <c r="J129" s="67">
        <v>0</v>
      </c>
      <c r="K129">
        <v>0</v>
      </c>
      <c r="L129" s="67">
        <v>1</v>
      </c>
      <c r="M129" s="67">
        <v>0</v>
      </c>
      <c r="N129" s="67">
        <v>0</v>
      </c>
      <c r="O129" s="67">
        <f>SUM(Soruce_file_2[[#This Row],[Overspeed]:[Yawning]])</f>
        <v>1</v>
      </c>
    </row>
    <row r="130" spans="1:15">
      <c r="A130">
        <v>453</v>
      </c>
      <c r="B130" s="2">
        <v>46096</v>
      </c>
      <c r="C130" s="1" t="s">
        <v>480</v>
      </c>
      <c r="D130" s="1" t="s">
        <v>484</v>
      </c>
      <c r="E130" s="1" t="s">
        <v>315</v>
      </c>
      <c r="F130" s="1" t="s">
        <v>769</v>
      </c>
      <c r="G130" s="1" t="s">
        <v>770</v>
      </c>
      <c r="H130" s="1" t="s">
        <v>459</v>
      </c>
      <c r="I130" s="67">
        <v>0</v>
      </c>
      <c r="J130" s="67">
        <v>1</v>
      </c>
      <c r="K130">
        <v>0</v>
      </c>
      <c r="L130" s="67">
        <v>0</v>
      </c>
      <c r="M130" s="67">
        <v>0</v>
      </c>
      <c r="N130" s="67">
        <v>0</v>
      </c>
      <c r="O130" s="67">
        <f>SUM(Soruce_file_2[[#This Row],[Overspeed]:[Yawning]])</f>
        <v>1</v>
      </c>
    </row>
    <row r="131" spans="1:15">
      <c r="A131">
        <v>465</v>
      </c>
      <c r="B131" s="2">
        <v>46096</v>
      </c>
      <c r="C131" s="1" t="s">
        <v>13</v>
      </c>
      <c r="D131" s="1" t="s">
        <v>205</v>
      </c>
      <c r="E131" s="1" t="s">
        <v>315</v>
      </c>
      <c r="F131" s="1" t="s">
        <v>771</v>
      </c>
      <c r="G131" s="1" t="s">
        <v>772</v>
      </c>
      <c r="H131" s="1" t="s">
        <v>15</v>
      </c>
      <c r="I131" s="67">
        <v>0</v>
      </c>
      <c r="J131" s="67">
        <v>0</v>
      </c>
      <c r="K131">
        <v>0</v>
      </c>
      <c r="L131" s="67">
        <v>0</v>
      </c>
      <c r="M131" s="67">
        <v>1</v>
      </c>
      <c r="N131" s="67">
        <v>0</v>
      </c>
      <c r="O131" s="67">
        <f>SUM(Soruce_file_2[[#This Row],[Overspeed]:[Yawning]])</f>
        <v>1</v>
      </c>
    </row>
    <row r="132" spans="1:15">
      <c r="A132">
        <v>466</v>
      </c>
      <c r="B132" s="2">
        <v>46096</v>
      </c>
      <c r="C132" s="1" t="s">
        <v>13</v>
      </c>
      <c r="D132" s="1" t="s">
        <v>133</v>
      </c>
      <c r="E132" s="1" t="s">
        <v>315</v>
      </c>
      <c r="F132" s="1" t="s">
        <v>690</v>
      </c>
      <c r="G132" s="1" t="s">
        <v>691</v>
      </c>
      <c r="H132" s="1" t="s">
        <v>15</v>
      </c>
      <c r="I132" s="67">
        <v>0</v>
      </c>
      <c r="J132" s="67">
        <v>1</v>
      </c>
      <c r="K132">
        <v>0</v>
      </c>
      <c r="L132" s="67">
        <v>0</v>
      </c>
      <c r="M132" s="67">
        <v>0</v>
      </c>
      <c r="N132" s="67">
        <v>0</v>
      </c>
      <c r="O132" s="67">
        <f>SUM(Soruce_file_2[[#This Row],[Overspeed]:[Yawning]])</f>
        <v>1</v>
      </c>
    </row>
    <row r="133" spans="1:15">
      <c r="A133">
        <v>467</v>
      </c>
      <c r="B133" s="2">
        <v>46096</v>
      </c>
      <c r="C133" s="1" t="s">
        <v>37</v>
      </c>
      <c r="D133" s="1" t="s">
        <v>48</v>
      </c>
      <c r="E133" s="1" t="s">
        <v>315</v>
      </c>
      <c r="F133" s="1" t="s">
        <v>773</v>
      </c>
      <c r="G133" s="1" t="s">
        <v>774</v>
      </c>
      <c r="H133" s="1" t="s">
        <v>21</v>
      </c>
      <c r="I133" s="67">
        <v>0</v>
      </c>
      <c r="J133" s="67">
        <v>0</v>
      </c>
      <c r="K133">
        <v>1</v>
      </c>
      <c r="L133" s="67">
        <v>0</v>
      </c>
      <c r="M133" s="67">
        <v>0</v>
      </c>
      <c r="N133" s="67">
        <v>0</v>
      </c>
      <c r="O133" s="67">
        <f>SUM(Soruce_file_2[[#This Row],[Overspeed]:[Yawning]])</f>
        <v>1</v>
      </c>
    </row>
    <row r="134" spans="1:15">
      <c r="A134">
        <v>468</v>
      </c>
      <c r="B134" s="2">
        <v>46096</v>
      </c>
      <c r="C134" s="1" t="s">
        <v>310</v>
      </c>
      <c r="D134" s="1" t="s">
        <v>474</v>
      </c>
      <c r="E134" s="1" t="s">
        <v>315</v>
      </c>
      <c r="F134" s="1" t="s">
        <v>775</v>
      </c>
      <c r="G134" s="1" t="s">
        <v>776</v>
      </c>
      <c r="H134" s="1" t="s">
        <v>417</v>
      </c>
      <c r="I134" s="67">
        <v>0</v>
      </c>
      <c r="J134" s="67">
        <v>0</v>
      </c>
      <c r="K134">
        <v>1</v>
      </c>
      <c r="L134" s="67">
        <v>0</v>
      </c>
      <c r="M134" s="67">
        <v>0</v>
      </c>
      <c r="N134" s="67">
        <v>0</v>
      </c>
      <c r="O134" s="67">
        <f>SUM(Soruce_file_2[[#This Row],[Overspeed]:[Yawning]])</f>
        <v>1</v>
      </c>
    </row>
    <row r="135" spans="1:15">
      <c r="A135">
        <v>469</v>
      </c>
      <c r="B135" s="2">
        <v>46097</v>
      </c>
      <c r="C135" s="1" t="s">
        <v>118</v>
      </c>
      <c r="D135" s="1" t="s">
        <v>130</v>
      </c>
      <c r="E135" s="1" t="s">
        <v>294</v>
      </c>
      <c r="F135" s="1" t="s">
        <v>777</v>
      </c>
      <c r="G135" s="1" t="s">
        <v>158</v>
      </c>
      <c r="H135" s="1" t="s">
        <v>7</v>
      </c>
      <c r="I135" s="67">
        <v>1</v>
      </c>
      <c r="J135" s="67">
        <v>0</v>
      </c>
      <c r="K135">
        <v>0</v>
      </c>
      <c r="L135" s="67">
        <v>0</v>
      </c>
      <c r="M135" s="67">
        <v>0</v>
      </c>
      <c r="N135" s="67">
        <v>0</v>
      </c>
      <c r="O135" s="67">
        <f>SUM(Soruce_file_2[[#This Row],[Overspeed]:[Yawning]])</f>
        <v>1</v>
      </c>
    </row>
    <row r="136" spans="1:15">
      <c r="A136">
        <v>482</v>
      </c>
      <c r="B136" s="2">
        <v>46097</v>
      </c>
      <c r="C136" s="1" t="s">
        <v>5</v>
      </c>
      <c r="D136" s="1" t="s">
        <v>136</v>
      </c>
      <c r="E136" s="1" t="s">
        <v>294</v>
      </c>
      <c r="F136" s="1" t="s">
        <v>778</v>
      </c>
      <c r="G136" s="1" t="s">
        <v>779</v>
      </c>
      <c r="H136" s="1" t="s">
        <v>18</v>
      </c>
      <c r="I136" s="67">
        <v>1</v>
      </c>
      <c r="J136" s="67">
        <v>0</v>
      </c>
      <c r="K136">
        <v>0</v>
      </c>
      <c r="L136" s="67">
        <v>0</v>
      </c>
      <c r="M136" s="67">
        <v>0</v>
      </c>
      <c r="N136" s="67">
        <v>0</v>
      </c>
      <c r="O136" s="67">
        <f>SUM(Soruce_file_2[[#This Row],[Overspeed]:[Yawning]])</f>
        <v>1</v>
      </c>
    </row>
    <row r="137" spans="1:15">
      <c r="A137">
        <v>485</v>
      </c>
      <c r="B137" s="2">
        <v>46097</v>
      </c>
      <c r="C137" s="1" t="s">
        <v>5</v>
      </c>
      <c r="D137" s="1" t="s">
        <v>157</v>
      </c>
      <c r="E137" s="1" t="s">
        <v>294</v>
      </c>
      <c r="F137" s="1" t="s">
        <v>709</v>
      </c>
      <c r="G137" s="1" t="s">
        <v>710</v>
      </c>
      <c r="H137" s="1" t="s">
        <v>10</v>
      </c>
      <c r="I137" s="67">
        <v>0</v>
      </c>
      <c r="J137" s="67">
        <v>1</v>
      </c>
      <c r="K137">
        <v>0</v>
      </c>
      <c r="L137" s="67">
        <v>0</v>
      </c>
      <c r="M137" s="67">
        <v>0</v>
      </c>
      <c r="N137" s="67">
        <v>0</v>
      </c>
      <c r="O137" s="67">
        <f>SUM(Soruce_file_2[[#This Row],[Overspeed]:[Yawning]])</f>
        <v>1</v>
      </c>
    </row>
    <row r="138" spans="1:15">
      <c r="A138">
        <v>488</v>
      </c>
      <c r="B138" s="2">
        <v>46097</v>
      </c>
      <c r="C138" s="1" t="s">
        <v>25</v>
      </c>
      <c r="D138" s="1" t="s">
        <v>51</v>
      </c>
      <c r="E138" s="1" t="s">
        <v>294</v>
      </c>
      <c r="F138" s="1" t="s">
        <v>780</v>
      </c>
      <c r="G138" s="1" t="s">
        <v>781</v>
      </c>
      <c r="H138" s="1" t="s">
        <v>18</v>
      </c>
      <c r="I138" s="67">
        <v>0</v>
      </c>
      <c r="J138" s="67">
        <v>0</v>
      </c>
      <c r="K138">
        <v>0</v>
      </c>
      <c r="L138" s="67">
        <v>0</v>
      </c>
      <c r="M138" s="67">
        <v>1</v>
      </c>
      <c r="N138" s="67">
        <v>0</v>
      </c>
      <c r="O138" s="67">
        <f>SUM(Soruce_file_2[[#This Row],[Overspeed]:[Yawning]])</f>
        <v>1</v>
      </c>
    </row>
    <row r="139" spans="1:15">
      <c r="A139">
        <v>492</v>
      </c>
      <c r="B139" s="2">
        <v>46097</v>
      </c>
      <c r="C139" s="1" t="s">
        <v>310</v>
      </c>
      <c r="D139" s="1" t="s">
        <v>533</v>
      </c>
      <c r="E139" s="1" t="s">
        <v>315</v>
      </c>
      <c r="F139" s="1" t="s">
        <v>782</v>
      </c>
      <c r="G139" s="1" t="s">
        <v>783</v>
      </c>
      <c r="H139" s="1" t="s">
        <v>260</v>
      </c>
      <c r="I139" s="67">
        <v>0</v>
      </c>
      <c r="J139" s="67">
        <v>1</v>
      </c>
      <c r="K139">
        <v>0</v>
      </c>
      <c r="L139" s="67">
        <v>0</v>
      </c>
      <c r="M139" s="67">
        <v>0</v>
      </c>
      <c r="N139" s="67">
        <v>0</v>
      </c>
      <c r="O139" s="67">
        <f>SUM(Soruce_file_2[[#This Row],[Overspeed]:[Yawning]])</f>
        <v>1</v>
      </c>
    </row>
    <row r="140" spans="1:15">
      <c r="A140">
        <v>495</v>
      </c>
      <c r="B140" s="2">
        <v>46098</v>
      </c>
      <c r="C140" s="1" t="s">
        <v>310</v>
      </c>
      <c r="D140" s="1" t="s">
        <v>472</v>
      </c>
      <c r="E140" s="1" t="s">
        <v>315</v>
      </c>
      <c r="F140" s="1" t="s">
        <v>784</v>
      </c>
      <c r="G140" s="1" t="s">
        <v>785</v>
      </c>
      <c r="H140" s="1" t="s">
        <v>459</v>
      </c>
      <c r="I140" s="67">
        <v>0</v>
      </c>
      <c r="J140" s="67">
        <v>0</v>
      </c>
      <c r="K140">
        <v>0</v>
      </c>
      <c r="L140" s="67">
        <v>1</v>
      </c>
      <c r="M140" s="67">
        <v>0</v>
      </c>
      <c r="N140" s="67">
        <v>0</v>
      </c>
      <c r="O140" s="67">
        <f>SUM(Soruce_file_2[[#This Row],[Overspeed]:[Yawning]])</f>
        <v>1</v>
      </c>
    </row>
    <row r="141" spans="1:15">
      <c r="A141">
        <v>498</v>
      </c>
      <c r="B141" s="2">
        <v>46098</v>
      </c>
      <c r="C141" s="1" t="s">
        <v>25</v>
      </c>
      <c r="D141" s="1" t="s">
        <v>279</v>
      </c>
      <c r="E141" s="1" t="s">
        <v>294</v>
      </c>
      <c r="F141" s="1" t="s">
        <v>786</v>
      </c>
      <c r="G141" s="1" t="s">
        <v>787</v>
      </c>
      <c r="H141" s="1" t="s">
        <v>10</v>
      </c>
      <c r="I141" s="67">
        <v>0</v>
      </c>
      <c r="J141" s="67">
        <v>1</v>
      </c>
      <c r="K141">
        <v>0</v>
      </c>
      <c r="L141" s="67">
        <v>0</v>
      </c>
      <c r="M141" s="67">
        <v>0</v>
      </c>
      <c r="N141" s="67">
        <v>0</v>
      </c>
      <c r="O141" s="67">
        <f>SUM(Soruce_file_2[[#This Row],[Overspeed]:[Yawning]])</f>
        <v>1</v>
      </c>
    </row>
    <row r="142" spans="1:15">
      <c r="A142">
        <v>500</v>
      </c>
      <c r="B142" s="2">
        <v>46098</v>
      </c>
      <c r="C142" s="1" t="s">
        <v>25</v>
      </c>
      <c r="D142" s="1" t="s">
        <v>44</v>
      </c>
      <c r="E142" s="1" t="s">
        <v>294</v>
      </c>
      <c r="F142" s="1" t="s">
        <v>788</v>
      </c>
      <c r="G142" s="1" t="s">
        <v>789</v>
      </c>
      <c r="H142" s="1" t="s">
        <v>18</v>
      </c>
      <c r="I142" s="67">
        <v>0</v>
      </c>
      <c r="J142" s="67">
        <v>0</v>
      </c>
      <c r="K142">
        <v>1</v>
      </c>
      <c r="L142" s="67">
        <v>0</v>
      </c>
      <c r="M142" s="67">
        <v>0</v>
      </c>
      <c r="N142" s="67">
        <v>0</v>
      </c>
      <c r="O142" s="67">
        <f>SUM(Soruce_file_2[[#This Row],[Overspeed]:[Yawning]])</f>
        <v>1</v>
      </c>
    </row>
    <row r="143" spans="1:15">
      <c r="A143">
        <v>502</v>
      </c>
      <c r="B143" s="2">
        <v>46098</v>
      </c>
      <c r="C143" s="1" t="s">
        <v>13</v>
      </c>
      <c r="D143" s="1" t="s">
        <v>14</v>
      </c>
      <c r="E143" s="1" t="s">
        <v>315</v>
      </c>
      <c r="F143" s="1" t="s">
        <v>222</v>
      </c>
      <c r="G143" s="1" t="s">
        <v>223</v>
      </c>
      <c r="H143" s="1" t="s">
        <v>15</v>
      </c>
      <c r="I143" s="67">
        <v>1</v>
      </c>
      <c r="J143" s="67">
        <v>0</v>
      </c>
      <c r="K143">
        <v>0</v>
      </c>
      <c r="L143" s="67">
        <v>0</v>
      </c>
      <c r="M143" s="67">
        <v>0</v>
      </c>
      <c r="N143" s="67">
        <v>0</v>
      </c>
      <c r="O143" s="67">
        <f>SUM(Soruce_file_2[[#This Row],[Overspeed]:[Yawning]])</f>
        <v>1</v>
      </c>
    </row>
    <row r="144" spans="1:15">
      <c r="A144">
        <v>504</v>
      </c>
      <c r="B144" s="2">
        <v>46098</v>
      </c>
      <c r="C144" s="1" t="s">
        <v>310</v>
      </c>
      <c r="D144" s="1" t="s">
        <v>533</v>
      </c>
      <c r="E144" s="1" t="s">
        <v>315</v>
      </c>
      <c r="F144" s="1" t="s">
        <v>782</v>
      </c>
      <c r="G144" s="1" t="s">
        <v>783</v>
      </c>
      <c r="H144" s="1" t="s">
        <v>260</v>
      </c>
      <c r="I144" s="67">
        <v>0</v>
      </c>
      <c r="J144" s="67">
        <v>1</v>
      </c>
      <c r="K144">
        <v>0</v>
      </c>
      <c r="L144" s="67">
        <v>0</v>
      </c>
      <c r="M144" s="67">
        <v>0</v>
      </c>
      <c r="N144" s="67">
        <v>0</v>
      </c>
      <c r="O144" s="67">
        <f>SUM(Soruce_file_2[[#This Row],[Overspeed]:[Yawning]])</f>
        <v>1</v>
      </c>
    </row>
    <row r="145" spans="1:15">
      <c r="A145">
        <v>505</v>
      </c>
      <c r="B145" s="2">
        <v>46098</v>
      </c>
      <c r="C145" s="1" t="s">
        <v>5</v>
      </c>
      <c r="D145" s="1" t="s">
        <v>180</v>
      </c>
      <c r="E145" s="1" t="s">
        <v>294</v>
      </c>
      <c r="F145" s="1" t="s">
        <v>790</v>
      </c>
      <c r="G145" s="1" t="s">
        <v>702</v>
      </c>
      <c r="H145" s="1" t="s">
        <v>18</v>
      </c>
      <c r="I145" s="67">
        <v>0</v>
      </c>
      <c r="J145" s="67">
        <v>0</v>
      </c>
      <c r="K145">
        <v>0</v>
      </c>
      <c r="L145" s="67">
        <v>0</v>
      </c>
      <c r="M145" s="67">
        <v>1</v>
      </c>
      <c r="N145" s="67">
        <v>0</v>
      </c>
      <c r="O145" s="67">
        <f>SUM(Soruce_file_2[[#This Row],[Overspeed]:[Yawning]])</f>
        <v>1</v>
      </c>
    </row>
    <row r="146" spans="1:15">
      <c r="A146">
        <v>515</v>
      </c>
      <c r="B146" s="2">
        <v>46098</v>
      </c>
      <c r="C146" s="1" t="s">
        <v>37</v>
      </c>
      <c r="D146" s="1" t="s">
        <v>267</v>
      </c>
      <c r="E146" s="1" t="s">
        <v>315</v>
      </c>
      <c r="F146" s="1" t="s">
        <v>791</v>
      </c>
      <c r="G146" s="1" t="s">
        <v>746</v>
      </c>
      <c r="H146" s="1" t="s">
        <v>21</v>
      </c>
      <c r="I146" s="67">
        <v>0</v>
      </c>
      <c r="J146" s="67">
        <v>1</v>
      </c>
      <c r="K146">
        <v>0</v>
      </c>
      <c r="L146" s="67">
        <v>0</v>
      </c>
      <c r="M146" s="67">
        <v>0</v>
      </c>
      <c r="N146" s="67">
        <v>0</v>
      </c>
      <c r="O146" s="67">
        <f>SUM(Soruce_file_2[[#This Row],[Overspeed]:[Yawning]])</f>
        <v>1</v>
      </c>
    </row>
    <row r="147" spans="1:15">
      <c r="A147">
        <v>516</v>
      </c>
      <c r="B147" s="2">
        <v>46098</v>
      </c>
      <c r="C147" s="1" t="s">
        <v>144</v>
      </c>
      <c r="D147" s="1" t="s">
        <v>145</v>
      </c>
      <c r="E147" s="1" t="s">
        <v>315</v>
      </c>
      <c r="F147" s="1" t="s">
        <v>792</v>
      </c>
      <c r="G147" s="1" t="s">
        <v>750</v>
      </c>
      <c r="H147" s="1" t="s">
        <v>27</v>
      </c>
      <c r="I147" s="67">
        <v>0</v>
      </c>
      <c r="J147" s="67">
        <v>0</v>
      </c>
      <c r="K147">
        <v>0</v>
      </c>
      <c r="L147" s="67">
        <v>0</v>
      </c>
      <c r="M147" s="67">
        <v>1</v>
      </c>
      <c r="N147" s="67">
        <v>0</v>
      </c>
      <c r="O147" s="67">
        <f>SUM(Soruce_file_2[[#This Row],[Overspeed]:[Yawning]])</f>
        <v>1</v>
      </c>
    </row>
    <row r="148" spans="1:15">
      <c r="A148">
        <v>517</v>
      </c>
      <c r="B148" s="2">
        <v>46098</v>
      </c>
      <c r="C148" s="1" t="s">
        <v>25</v>
      </c>
      <c r="D148" s="1" t="s">
        <v>517</v>
      </c>
      <c r="E148" s="1" t="s">
        <v>315</v>
      </c>
      <c r="F148" s="1" t="s">
        <v>793</v>
      </c>
      <c r="G148" s="1" t="s">
        <v>794</v>
      </c>
      <c r="H148" s="1" t="s">
        <v>32</v>
      </c>
      <c r="I148" s="67">
        <v>0</v>
      </c>
      <c r="J148" s="67">
        <v>1</v>
      </c>
      <c r="K148">
        <v>0</v>
      </c>
      <c r="L148" s="67">
        <v>0</v>
      </c>
      <c r="M148" s="67">
        <v>0</v>
      </c>
      <c r="N148" s="67">
        <v>0</v>
      </c>
      <c r="O148" s="67">
        <f>SUM(Soruce_file_2[[#This Row],[Overspeed]:[Yawning]])</f>
        <v>1</v>
      </c>
    </row>
    <row r="149" spans="1:15">
      <c r="A149">
        <v>518</v>
      </c>
      <c r="B149" s="2">
        <v>46098</v>
      </c>
      <c r="C149" s="1" t="s">
        <v>37</v>
      </c>
      <c r="D149" s="1" t="s">
        <v>547</v>
      </c>
      <c r="E149" s="1" t="s">
        <v>315</v>
      </c>
      <c r="F149" s="1" t="s">
        <v>795</v>
      </c>
      <c r="G149" s="1" t="s">
        <v>796</v>
      </c>
      <c r="H149" s="1" t="s">
        <v>21</v>
      </c>
      <c r="I149" s="67">
        <v>0</v>
      </c>
      <c r="J149" s="67">
        <v>1</v>
      </c>
      <c r="K149">
        <v>0</v>
      </c>
      <c r="L149" s="67">
        <v>0</v>
      </c>
      <c r="M149" s="67">
        <v>0</v>
      </c>
      <c r="N149" s="67">
        <v>0</v>
      </c>
      <c r="O149" s="67">
        <f>SUM(Soruce_file_2[[#This Row],[Overspeed]:[Yawning]])</f>
        <v>1</v>
      </c>
    </row>
    <row r="150" spans="1:15">
      <c r="A150">
        <v>519</v>
      </c>
      <c r="B150" s="2">
        <v>46098</v>
      </c>
      <c r="C150" s="1" t="s">
        <v>5</v>
      </c>
      <c r="D150" s="1" t="s">
        <v>155</v>
      </c>
      <c r="E150" s="1" t="s">
        <v>315</v>
      </c>
      <c r="F150" s="1" t="s">
        <v>797</v>
      </c>
      <c r="G150" s="1" t="s">
        <v>798</v>
      </c>
      <c r="H150" s="1" t="s">
        <v>15</v>
      </c>
      <c r="I150" s="67">
        <v>0</v>
      </c>
      <c r="J150" s="67">
        <v>1</v>
      </c>
      <c r="K150">
        <v>0</v>
      </c>
      <c r="L150" s="67">
        <v>0</v>
      </c>
      <c r="M150" s="67">
        <v>0</v>
      </c>
      <c r="N150" s="67">
        <v>0</v>
      </c>
      <c r="O150" s="67">
        <f>SUM(Soruce_file_2[[#This Row],[Overspeed]:[Yawning]])</f>
        <v>1</v>
      </c>
    </row>
    <row r="151" spans="1:15">
      <c r="A151">
        <v>520</v>
      </c>
      <c r="B151" s="2">
        <v>46098</v>
      </c>
      <c r="C151" s="1" t="s">
        <v>5</v>
      </c>
      <c r="D151" s="1" t="s">
        <v>250</v>
      </c>
      <c r="E151" s="1" t="s">
        <v>294</v>
      </c>
      <c r="F151" s="1" t="s">
        <v>799</v>
      </c>
      <c r="G151" s="1" t="s">
        <v>660</v>
      </c>
      <c r="H151" s="1" t="s">
        <v>7</v>
      </c>
      <c r="I151" s="67">
        <v>0</v>
      </c>
      <c r="J151" s="67">
        <v>0</v>
      </c>
      <c r="K151">
        <v>0</v>
      </c>
      <c r="L151" s="67">
        <v>1</v>
      </c>
      <c r="M151" s="67">
        <v>0</v>
      </c>
      <c r="N151" s="67">
        <v>0</v>
      </c>
      <c r="O151" s="67">
        <f>SUM(Soruce_file_2[[#This Row],[Overspeed]:[Yawning]])</f>
        <v>1</v>
      </c>
    </row>
    <row r="152" spans="1:15">
      <c r="A152">
        <v>521</v>
      </c>
      <c r="B152" s="2">
        <v>46099</v>
      </c>
      <c r="C152" s="1" t="s">
        <v>13</v>
      </c>
      <c r="D152" s="1" t="s">
        <v>63</v>
      </c>
      <c r="E152" s="1" t="s">
        <v>315</v>
      </c>
      <c r="F152" s="1" t="s">
        <v>800</v>
      </c>
      <c r="G152" s="1" t="s">
        <v>801</v>
      </c>
      <c r="H152" s="1" t="s">
        <v>15</v>
      </c>
      <c r="I152" s="67">
        <v>0</v>
      </c>
      <c r="J152" s="67">
        <v>0</v>
      </c>
      <c r="K152">
        <v>1</v>
      </c>
      <c r="L152" s="67">
        <v>0</v>
      </c>
      <c r="M152" s="67">
        <v>0</v>
      </c>
      <c r="N152" s="67">
        <v>0</v>
      </c>
      <c r="O152" s="67">
        <f>SUM(Soruce_file_2[[#This Row],[Overspeed]:[Yawning]])</f>
        <v>1</v>
      </c>
    </row>
    <row r="153" spans="1:15">
      <c r="A153">
        <v>522</v>
      </c>
      <c r="B153" s="2">
        <v>46099</v>
      </c>
      <c r="C153" s="1" t="s">
        <v>5</v>
      </c>
      <c r="D153" s="1" t="s">
        <v>388</v>
      </c>
      <c r="E153" s="1" t="s">
        <v>315</v>
      </c>
      <c r="F153" s="1" t="s">
        <v>802</v>
      </c>
      <c r="G153" s="1" t="s">
        <v>803</v>
      </c>
      <c r="H153" s="1" t="s">
        <v>47</v>
      </c>
      <c r="I153" s="67">
        <v>0</v>
      </c>
      <c r="J153" s="67">
        <v>0</v>
      </c>
      <c r="K153">
        <v>1</v>
      </c>
      <c r="L153" s="67">
        <v>0</v>
      </c>
      <c r="M153" s="67">
        <v>0</v>
      </c>
      <c r="N153" s="67">
        <v>0</v>
      </c>
      <c r="O153" s="67">
        <f>SUM(Soruce_file_2[[#This Row],[Overspeed]:[Yawning]])</f>
        <v>1</v>
      </c>
    </row>
    <row r="154" spans="1:15">
      <c r="A154">
        <v>525</v>
      </c>
      <c r="B154" s="2">
        <v>46099</v>
      </c>
      <c r="C154" s="1" t="s">
        <v>25</v>
      </c>
      <c r="D154" s="1" t="s">
        <v>307</v>
      </c>
      <c r="E154" s="1" t="s">
        <v>294</v>
      </c>
      <c r="F154" s="1" t="s">
        <v>804</v>
      </c>
      <c r="G154" s="1" t="s">
        <v>768</v>
      </c>
      <c r="H154" s="1" t="s">
        <v>10</v>
      </c>
      <c r="I154" s="67">
        <v>0</v>
      </c>
      <c r="J154" s="67">
        <v>0</v>
      </c>
      <c r="K154">
        <v>1</v>
      </c>
      <c r="L154" s="67">
        <v>0</v>
      </c>
      <c r="M154" s="67">
        <v>0</v>
      </c>
      <c r="N154" s="67">
        <v>0</v>
      </c>
      <c r="O154" s="67">
        <f>SUM(Soruce_file_2[[#This Row],[Overspeed]:[Yawning]])</f>
        <v>1</v>
      </c>
    </row>
    <row r="155" spans="1:15">
      <c r="A155">
        <v>526</v>
      </c>
      <c r="B155" s="2">
        <v>46099</v>
      </c>
      <c r="C155" s="1" t="s">
        <v>310</v>
      </c>
      <c r="D155" s="1" t="s">
        <v>160</v>
      </c>
      <c r="E155" s="1" t="s">
        <v>315</v>
      </c>
      <c r="F155" s="1" t="s">
        <v>805</v>
      </c>
      <c r="G155" s="1" t="s">
        <v>806</v>
      </c>
      <c r="H155" s="1" t="s">
        <v>34</v>
      </c>
      <c r="I155" s="67">
        <v>0</v>
      </c>
      <c r="J155" s="67">
        <v>0</v>
      </c>
      <c r="K155">
        <v>1</v>
      </c>
      <c r="L155" s="67">
        <v>0</v>
      </c>
      <c r="M155" s="67">
        <v>0</v>
      </c>
      <c r="N155" s="67">
        <v>0</v>
      </c>
      <c r="O155" s="67">
        <f>SUM(Soruce_file_2[[#This Row],[Overspeed]:[Yawning]])</f>
        <v>1</v>
      </c>
    </row>
    <row r="156" spans="1:15">
      <c r="A156">
        <v>527</v>
      </c>
      <c r="B156" s="2">
        <v>46099</v>
      </c>
      <c r="C156" s="1" t="s">
        <v>13</v>
      </c>
      <c r="D156" s="1" t="s">
        <v>148</v>
      </c>
      <c r="E156" s="1" t="s">
        <v>315</v>
      </c>
      <c r="F156" s="1" t="s">
        <v>807</v>
      </c>
      <c r="G156" s="1" t="s">
        <v>808</v>
      </c>
      <c r="H156" s="1" t="s">
        <v>15</v>
      </c>
      <c r="I156" s="67">
        <v>1</v>
      </c>
      <c r="J156" s="67">
        <v>0</v>
      </c>
      <c r="K156">
        <v>0</v>
      </c>
      <c r="L156" s="67">
        <v>0</v>
      </c>
      <c r="M156" s="67">
        <v>0</v>
      </c>
      <c r="N156" s="67">
        <v>0</v>
      </c>
      <c r="O156" s="67">
        <f>SUM(Soruce_file_2[[#This Row],[Overspeed]:[Yawning]])</f>
        <v>1</v>
      </c>
    </row>
    <row r="157" spans="1:15">
      <c r="A157">
        <v>530</v>
      </c>
      <c r="B157" s="2">
        <v>46099</v>
      </c>
      <c r="C157" s="1" t="s">
        <v>310</v>
      </c>
      <c r="D157" s="1" t="s">
        <v>105</v>
      </c>
      <c r="E157" s="1" t="s">
        <v>315</v>
      </c>
      <c r="F157" s="1" t="s">
        <v>809</v>
      </c>
      <c r="G157" s="1" t="s">
        <v>810</v>
      </c>
      <c r="H157" s="1" t="s">
        <v>88</v>
      </c>
      <c r="I157" s="67">
        <v>1</v>
      </c>
      <c r="J157" s="67">
        <v>0</v>
      </c>
      <c r="K157">
        <v>0</v>
      </c>
      <c r="L157" s="67">
        <v>0</v>
      </c>
      <c r="M157" s="67">
        <v>0</v>
      </c>
      <c r="N157" s="67">
        <v>0</v>
      </c>
      <c r="O157" s="67">
        <f>SUM(Soruce_file_2[[#This Row],[Overspeed]:[Yawning]])</f>
        <v>1</v>
      </c>
    </row>
    <row r="158" spans="1:15">
      <c r="A158">
        <v>532</v>
      </c>
      <c r="B158" s="2">
        <v>46099</v>
      </c>
      <c r="C158" s="1" t="s">
        <v>310</v>
      </c>
      <c r="D158" s="1" t="s">
        <v>312</v>
      </c>
      <c r="E158" s="1" t="s">
        <v>294</v>
      </c>
      <c r="F158" s="1" t="s">
        <v>677</v>
      </c>
      <c r="G158" s="1" t="s">
        <v>678</v>
      </c>
      <c r="H158" s="1" t="s">
        <v>10</v>
      </c>
      <c r="I158" s="67">
        <v>0</v>
      </c>
      <c r="J158" s="67">
        <v>1</v>
      </c>
      <c r="K158">
        <v>0</v>
      </c>
      <c r="L158" s="67">
        <v>0</v>
      </c>
      <c r="M158" s="67">
        <v>0</v>
      </c>
      <c r="N158" s="67">
        <v>0</v>
      </c>
      <c r="O158" s="67">
        <f>SUM(Soruce_file_2[[#This Row],[Overspeed]:[Yawning]])</f>
        <v>1</v>
      </c>
    </row>
    <row r="159" spans="1:15">
      <c r="A159">
        <v>533</v>
      </c>
      <c r="B159" s="2">
        <v>46099</v>
      </c>
      <c r="C159" s="1" t="s">
        <v>144</v>
      </c>
      <c r="D159" s="1" t="s">
        <v>145</v>
      </c>
      <c r="E159" s="1" t="s">
        <v>315</v>
      </c>
      <c r="F159" s="1" t="s">
        <v>792</v>
      </c>
      <c r="G159" s="1" t="s">
        <v>750</v>
      </c>
      <c r="H159" s="1" t="s">
        <v>27</v>
      </c>
      <c r="I159" s="67">
        <v>0</v>
      </c>
      <c r="J159" s="67">
        <v>0</v>
      </c>
      <c r="K159">
        <v>0</v>
      </c>
      <c r="L159" s="67">
        <v>0</v>
      </c>
      <c r="M159" s="67">
        <v>1</v>
      </c>
      <c r="N159" s="67">
        <v>0</v>
      </c>
      <c r="O159" s="67">
        <f>SUM(Soruce_file_2[[#This Row],[Overspeed]:[Yawning]])</f>
        <v>1</v>
      </c>
    </row>
    <row r="160" spans="1:15">
      <c r="A160">
        <v>535</v>
      </c>
      <c r="B160" s="2">
        <v>46099</v>
      </c>
      <c r="C160" s="1" t="s">
        <v>144</v>
      </c>
      <c r="D160" s="1" t="s">
        <v>145</v>
      </c>
      <c r="E160" s="1" t="s">
        <v>315</v>
      </c>
      <c r="F160" s="1" t="s">
        <v>792</v>
      </c>
      <c r="G160" s="1" t="s">
        <v>750</v>
      </c>
      <c r="H160" s="1" t="s">
        <v>27</v>
      </c>
      <c r="I160" s="67">
        <v>1</v>
      </c>
      <c r="J160" s="67">
        <v>0</v>
      </c>
      <c r="K160">
        <v>0</v>
      </c>
      <c r="L160" s="67">
        <v>0</v>
      </c>
      <c r="M160" s="67">
        <v>0</v>
      </c>
      <c r="N160" s="67">
        <v>0</v>
      </c>
      <c r="O160" s="67">
        <f>SUM(Soruce_file_2[[#This Row],[Overspeed]:[Yawning]])</f>
        <v>1</v>
      </c>
    </row>
    <row r="161" spans="2:15">
      <c r="B161" s="2"/>
      <c r="C161" s="1"/>
      <c r="D161" s="1"/>
      <c r="E161" s="1"/>
      <c r="F161" s="1"/>
      <c r="G161" s="1"/>
      <c r="H161" s="1"/>
      <c r="I161" s="67"/>
      <c r="J161" s="67"/>
      <c r="K161" s="67"/>
      <c r="L161" s="67"/>
      <c r="M161" s="67"/>
      <c r="N161" s="67"/>
      <c r="O161" s="67">
        <f>SUBTOTAL(109,Soruce_file_2[total])</f>
        <v>159</v>
      </c>
    </row>
    <row r="169" spans="2:15">
      <c r="K169">
        <v>5</v>
      </c>
    </row>
    <row r="170" spans="2:15">
      <c r="K170">
        <v>8</v>
      </c>
    </row>
    <row r="171" spans="2:15">
      <c r="K171">
        <v>5</v>
      </c>
    </row>
    <row r="172" spans="2:15">
      <c r="K172">
        <v>7</v>
      </c>
    </row>
    <row r="173" spans="2:15">
      <c r="K173">
        <v>11</v>
      </c>
    </row>
    <row r="174" spans="2:15">
      <c r="K174">
        <v>10</v>
      </c>
    </row>
    <row r="175" spans="2:15">
      <c r="K175">
        <v>6</v>
      </c>
    </row>
    <row r="176" spans="2:15">
      <c r="K176">
        <v>5</v>
      </c>
    </row>
    <row r="177" spans="11:11">
      <c r="K177">
        <v>6</v>
      </c>
    </row>
    <row r="178" spans="11:11">
      <c r="K178">
        <v>12</v>
      </c>
    </row>
    <row r="179" spans="11:11">
      <c r="K179">
        <v>16</v>
      </c>
    </row>
    <row r="180" spans="11:11">
      <c r="K180">
        <v>15</v>
      </c>
    </row>
    <row r="181" spans="11:11">
      <c r="K181">
        <v>5</v>
      </c>
    </row>
    <row r="182" spans="11:11">
      <c r="K182">
        <v>8</v>
      </c>
    </row>
    <row r="183" spans="11:11">
      <c r="K183">
        <v>14</v>
      </c>
    </row>
    <row r="184" spans="11:11">
      <c r="K184">
        <v>5</v>
      </c>
    </row>
    <row r="185" spans="11:11">
      <c r="K185">
        <v>12</v>
      </c>
    </row>
    <row r="186" spans="11:11">
      <c r="K186">
        <v>9</v>
      </c>
    </row>
    <row r="214" spans="15:16">
      <c r="O214" s="5"/>
      <c r="P214" s="5"/>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AE9AF-C726-4AC6-8E3A-A26F7C0CB832}">
  <dimension ref="A1:D456"/>
  <sheetViews>
    <sheetView topLeftCell="A418" workbookViewId="0">
      <selection activeCell="C461" sqref="C461"/>
    </sheetView>
  </sheetViews>
  <sheetFormatPr defaultRowHeight="14.5"/>
  <cols>
    <col min="1" max="1" width="16" bestFit="1" customWidth="1"/>
    <col min="2" max="2" width="13.08984375" bestFit="1" customWidth="1"/>
    <col min="3" max="3" width="26.6328125" bestFit="1" customWidth="1"/>
    <col min="4" max="4" width="16" bestFit="1" customWidth="1"/>
    <col min="5" max="5" width="13.6328125" bestFit="1" customWidth="1"/>
    <col min="6" max="6" width="10.7265625" bestFit="1" customWidth="1"/>
    <col min="7" max="7" width="26.6328125" bestFit="1" customWidth="1"/>
    <col min="8" max="8" width="16" bestFit="1" customWidth="1"/>
  </cols>
  <sheetData>
    <row r="1" spans="1:4">
      <c r="A1" t="s">
        <v>290</v>
      </c>
      <c r="B1" t="s">
        <v>291</v>
      </c>
      <c r="C1" t="s">
        <v>292</v>
      </c>
      <c r="D1" t="s">
        <v>293</v>
      </c>
    </row>
    <row r="2" spans="1:4">
      <c r="A2" s="1" t="s">
        <v>190</v>
      </c>
      <c r="B2" s="1" t="s">
        <v>294</v>
      </c>
      <c r="C2" s="1" t="s">
        <v>5</v>
      </c>
      <c r="D2" s="1" t="s">
        <v>10</v>
      </c>
    </row>
    <row r="3" spans="1:4">
      <c r="A3" s="1" t="s">
        <v>254</v>
      </c>
      <c r="B3" s="1" t="s">
        <v>294</v>
      </c>
      <c r="C3" s="1" t="s">
        <v>5</v>
      </c>
      <c r="D3" s="1" t="s">
        <v>10</v>
      </c>
    </row>
    <row r="4" spans="1:4">
      <c r="A4" s="1" t="s">
        <v>17</v>
      </c>
      <c r="B4" s="1" t="s">
        <v>294</v>
      </c>
      <c r="C4" s="1" t="s">
        <v>5</v>
      </c>
      <c r="D4" s="1" t="s">
        <v>18</v>
      </c>
    </row>
    <row r="5" spans="1:4">
      <c r="A5" s="1" t="s">
        <v>231</v>
      </c>
      <c r="B5" s="1" t="s">
        <v>294</v>
      </c>
      <c r="C5" s="1" t="s">
        <v>5</v>
      </c>
      <c r="D5" s="1" t="s">
        <v>18</v>
      </c>
    </row>
    <row r="6" spans="1:4">
      <c r="A6" s="1" t="s">
        <v>150</v>
      </c>
      <c r="B6" s="1" t="s">
        <v>294</v>
      </c>
      <c r="C6" s="1" t="s">
        <v>5</v>
      </c>
      <c r="D6" s="1" t="s">
        <v>18</v>
      </c>
    </row>
    <row r="7" spans="1:4">
      <c r="A7" s="1" t="s">
        <v>157</v>
      </c>
      <c r="B7" s="1" t="s">
        <v>294</v>
      </c>
      <c r="C7" s="1" t="s">
        <v>5</v>
      </c>
      <c r="D7" s="1" t="s">
        <v>10</v>
      </c>
    </row>
    <row r="8" spans="1:4">
      <c r="A8" s="1" t="s">
        <v>180</v>
      </c>
      <c r="B8" s="1" t="s">
        <v>294</v>
      </c>
      <c r="C8" s="1" t="s">
        <v>5</v>
      </c>
      <c r="D8" s="1" t="s">
        <v>18</v>
      </c>
    </row>
    <row r="9" spans="1:4">
      <c r="A9" s="1" t="s">
        <v>90</v>
      </c>
      <c r="B9" s="1" t="s">
        <v>294</v>
      </c>
      <c r="C9" s="1" t="s">
        <v>5</v>
      </c>
      <c r="D9" s="1" t="s">
        <v>18</v>
      </c>
    </row>
    <row r="10" spans="1:4">
      <c r="A10" s="1" t="s">
        <v>250</v>
      </c>
      <c r="B10" s="1" t="s">
        <v>294</v>
      </c>
      <c r="C10" s="1" t="s">
        <v>5</v>
      </c>
      <c r="D10" s="1" t="s">
        <v>7</v>
      </c>
    </row>
    <row r="11" spans="1:4">
      <c r="A11" s="1" t="s">
        <v>49</v>
      </c>
      <c r="B11" s="1" t="s">
        <v>294</v>
      </c>
      <c r="C11" s="1" t="s">
        <v>5</v>
      </c>
      <c r="D11" s="1" t="s">
        <v>7</v>
      </c>
    </row>
    <row r="12" spans="1:4">
      <c r="A12" s="1" t="s">
        <v>295</v>
      </c>
      <c r="B12" s="1" t="s">
        <v>294</v>
      </c>
      <c r="C12" s="1" t="s">
        <v>5</v>
      </c>
      <c r="D12" s="1" t="s">
        <v>18</v>
      </c>
    </row>
    <row r="13" spans="1:4">
      <c r="A13" s="1" t="s">
        <v>136</v>
      </c>
      <c r="B13" s="1" t="s">
        <v>294</v>
      </c>
      <c r="C13" s="1" t="s">
        <v>5</v>
      </c>
      <c r="D13" s="1" t="s">
        <v>18</v>
      </c>
    </row>
    <row r="14" spans="1:4">
      <c r="A14" s="1" t="s">
        <v>86</v>
      </c>
      <c r="B14" s="1" t="s">
        <v>294</v>
      </c>
      <c r="C14" s="1" t="s">
        <v>5</v>
      </c>
      <c r="D14" s="1" t="s">
        <v>7</v>
      </c>
    </row>
    <row r="15" spans="1:4">
      <c r="A15" s="1" t="s">
        <v>194</v>
      </c>
      <c r="B15" s="1" t="s">
        <v>294</v>
      </c>
      <c r="C15" s="1" t="s">
        <v>5</v>
      </c>
      <c r="D15" s="1" t="s">
        <v>7</v>
      </c>
    </row>
    <row r="16" spans="1:4">
      <c r="A16" s="1" t="s">
        <v>200</v>
      </c>
      <c r="B16" s="1" t="s">
        <v>294</v>
      </c>
      <c r="C16" s="1" t="s">
        <v>5</v>
      </c>
      <c r="D16" s="1" t="s">
        <v>18</v>
      </c>
    </row>
    <row r="17" spans="1:4">
      <c r="A17" s="1" t="s">
        <v>43</v>
      </c>
      <c r="B17" s="1" t="s">
        <v>294</v>
      </c>
      <c r="C17" s="1" t="s">
        <v>5</v>
      </c>
      <c r="D17" s="1" t="s">
        <v>7</v>
      </c>
    </row>
    <row r="18" spans="1:4">
      <c r="A18" s="1" t="s">
        <v>296</v>
      </c>
      <c r="B18" s="1" t="s">
        <v>294</v>
      </c>
      <c r="C18" s="1" t="s">
        <v>5</v>
      </c>
      <c r="D18" s="1" t="s">
        <v>7</v>
      </c>
    </row>
    <row r="19" spans="1:4">
      <c r="A19" s="1" t="s">
        <v>92</v>
      </c>
      <c r="B19" s="1" t="s">
        <v>294</v>
      </c>
      <c r="C19" s="1" t="s">
        <v>5</v>
      </c>
      <c r="D19" s="1" t="s">
        <v>7</v>
      </c>
    </row>
    <row r="20" spans="1:4">
      <c r="A20" s="1" t="s">
        <v>154</v>
      </c>
      <c r="B20" s="1" t="s">
        <v>294</v>
      </c>
      <c r="C20" s="1" t="s">
        <v>25</v>
      </c>
      <c r="D20" s="1" t="s">
        <v>10</v>
      </c>
    </row>
    <row r="21" spans="1:4">
      <c r="A21" s="1" t="s">
        <v>84</v>
      </c>
      <c r="B21" s="1" t="s">
        <v>294</v>
      </c>
      <c r="C21" s="1" t="s">
        <v>25</v>
      </c>
      <c r="D21" s="1" t="s">
        <v>42</v>
      </c>
    </row>
    <row r="22" spans="1:4">
      <c r="A22" s="1" t="s">
        <v>297</v>
      </c>
      <c r="B22" s="1" t="s">
        <v>294</v>
      </c>
      <c r="C22" s="1" t="s">
        <v>25</v>
      </c>
      <c r="D22" s="1" t="s">
        <v>10</v>
      </c>
    </row>
    <row r="23" spans="1:4">
      <c r="A23" s="1" t="s">
        <v>298</v>
      </c>
      <c r="B23" s="1" t="s">
        <v>294</v>
      </c>
      <c r="C23" s="1" t="s">
        <v>25</v>
      </c>
      <c r="D23" s="1" t="s">
        <v>10</v>
      </c>
    </row>
    <row r="24" spans="1:4">
      <c r="A24" s="1" t="s">
        <v>101</v>
      </c>
      <c r="B24" s="1" t="s">
        <v>294</v>
      </c>
      <c r="C24" s="1" t="s">
        <v>25</v>
      </c>
      <c r="D24" s="1" t="s">
        <v>42</v>
      </c>
    </row>
    <row r="25" spans="1:4">
      <c r="A25" s="1" t="s">
        <v>120</v>
      </c>
      <c r="B25" s="1" t="s">
        <v>294</v>
      </c>
      <c r="C25" s="1" t="s">
        <v>5</v>
      </c>
      <c r="D25" s="1" t="s">
        <v>18</v>
      </c>
    </row>
    <row r="26" spans="1:4">
      <c r="A26" s="1" t="s">
        <v>55</v>
      </c>
      <c r="B26" s="1" t="s">
        <v>294</v>
      </c>
      <c r="C26" s="1" t="s">
        <v>5</v>
      </c>
      <c r="D26" s="1" t="s">
        <v>18</v>
      </c>
    </row>
    <row r="27" spans="1:4">
      <c r="A27" s="1" t="s">
        <v>6</v>
      </c>
      <c r="B27" s="1" t="s">
        <v>294</v>
      </c>
      <c r="C27" s="1" t="s">
        <v>5</v>
      </c>
      <c r="D27" s="1" t="s">
        <v>7</v>
      </c>
    </row>
    <row r="28" spans="1:4">
      <c r="A28" s="1" t="s">
        <v>152</v>
      </c>
      <c r="B28" s="1" t="s">
        <v>294</v>
      </c>
      <c r="C28" s="1" t="s">
        <v>5</v>
      </c>
      <c r="D28" s="1" t="s">
        <v>18</v>
      </c>
    </row>
    <row r="29" spans="1:4">
      <c r="A29" s="1" t="s">
        <v>227</v>
      </c>
      <c r="B29" s="1" t="s">
        <v>294</v>
      </c>
      <c r="C29" s="1" t="s">
        <v>25</v>
      </c>
      <c r="D29" s="1" t="s">
        <v>7</v>
      </c>
    </row>
    <row r="30" spans="1:4">
      <c r="A30" s="1" t="s">
        <v>44</v>
      </c>
      <c r="B30" s="1" t="s">
        <v>294</v>
      </c>
      <c r="C30" s="1" t="s">
        <v>25</v>
      </c>
      <c r="D30" s="1" t="s">
        <v>18</v>
      </c>
    </row>
    <row r="31" spans="1:4">
      <c r="A31" s="1" t="s">
        <v>45</v>
      </c>
      <c r="B31" s="1" t="s">
        <v>294</v>
      </c>
      <c r="C31" s="1" t="s">
        <v>25</v>
      </c>
      <c r="D31" s="1" t="s">
        <v>7</v>
      </c>
    </row>
    <row r="32" spans="1:4">
      <c r="A32" s="1" t="s">
        <v>111</v>
      </c>
      <c r="B32" s="1" t="s">
        <v>294</v>
      </c>
      <c r="C32" s="1" t="s">
        <v>25</v>
      </c>
      <c r="D32" s="1" t="s">
        <v>18</v>
      </c>
    </row>
    <row r="33" spans="1:4">
      <c r="A33" s="1" t="s">
        <v>299</v>
      </c>
      <c r="B33" s="1" t="s">
        <v>294</v>
      </c>
      <c r="C33" s="1" t="s">
        <v>80</v>
      </c>
      <c r="D33" s="1" t="s">
        <v>7</v>
      </c>
    </row>
    <row r="34" spans="1:4">
      <c r="A34" s="1" t="s">
        <v>64</v>
      </c>
      <c r="B34" s="1" t="s">
        <v>294</v>
      </c>
      <c r="C34" s="1" t="s">
        <v>5</v>
      </c>
      <c r="D34" s="1" t="s">
        <v>18</v>
      </c>
    </row>
    <row r="35" spans="1:4">
      <c r="A35" s="1" t="s">
        <v>300</v>
      </c>
      <c r="B35" s="1" t="s">
        <v>294</v>
      </c>
      <c r="C35" s="1" t="s">
        <v>5</v>
      </c>
      <c r="D35" s="1" t="s">
        <v>18</v>
      </c>
    </row>
    <row r="36" spans="1:4">
      <c r="A36" s="1" t="s">
        <v>62</v>
      </c>
      <c r="B36" s="1" t="s">
        <v>294</v>
      </c>
      <c r="C36" s="1" t="s">
        <v>5</v>
      </c>
      <c r="D36" s="1" t="s">
        <v>18</v>
      </c>
    </row>
    <row r="37" spans="1:4">
      <c r="A37" s="1" t="s">
        <v>301</v>
      </c>
      <c r="B37" s="1" t="s">
        <v>294</v>
      </c>
      <c r="C37" s="1" t="s">
        <v>25</v>
      </c>
      <c r="D37" s="1" t="s">
        <v>7</v>
      </c>
    </row>
    <row r="38" spans="1:4">
      <c r="A38" s="1" t="s">
        <v>199</v>
      </c>
      <c r="B38" s="1" t="s">
        <v>294</v>
      </c>
      <c r="C38" s="1" t="s">
        <v>25</v>
      </c>
      <c r="D38" s="1" t="s">
        <v>42</v>
      </c>
    </row>
    <row r="39" spans="1:4">
      <c r="A39" s="1" t="s">
        <v>100</v>
      </c>
      <c r="B39" s="1" t="s">
        <v>294</v>
      </c>
      <c r="C39" s="1" t="s">
        <v>25</v>
      </c>
      <c r="D39" s="1" t="s">
        <v>7</v>
      </c>
    </row>
    <row r="40" spans="1:4">
      <c r="A40" s="1" t="s">
        <v>113</v>
      </c>
      <c r="B40" s="1" t="s">
        <v>294</v>
      </c>
      <c r="C40" s="1" t="s">
        <v>25</v>
      </c>
      <c r="D40" s="1" t="s">
        <v>18</v>
      </c>
    </row>
    <row r="41" spans="1:4">
      <c r="A41" s="1" t="s">
        <v>51</v>
      </c>
      <c r="B41" s="1" t="s">
        <v>294</v>
      </c>
      <c r="C41" s="1" t="s">
        <v>25</v>
      </c>
      <c r="D41" s="1" t="s">
        <v>18</v>
      </c>
    </row>
    <row r="42" spans="1:4">
      <c r="A42" s="1" t="s">
        <v>232</v>
      </c>
      <c r="B42" s="1" t="s">
        <v>294</v>
      </c>
      <c r="C42" s="1" t="s">
        <v>80</v>
      </c>
      <c r="D42" s="1" t="s">
        <v>7</v>
      </c>
    </row>
    <row r="43" spans="1:4">
      <c r="A43" s="1" t="s">
        <v>302</v>
      </c>
      <c r="B43" s="1" t="s">
        <v>294</v>
      </c>
      <c r="C43" s="1" t="s">
        <v>25</v>
      </c>
      <c r="D43" s="1" t="s">
        <v>10</v>
      </c>
    </row>
    <row r="44" spans="1:4">
      <c r="A44" s="1" t="s">
        <v>279</v>
      </c>
      <c r="B44" s="1" t="s">
        <v>294</v>
      </c>
      <c r="C44" s="1" t="s">
        <v>25</v>
      </c>
      <c r="D44" s="1" t="s">
        <v>10</v>
      </c>
    </row>
    <row r="45" spans="1:4">
      <c r="A45" s="1" t="s">
        <v>115</v>
      </c>
      <c r="B45" s="1" t="s">
        <v>294</v>
      </c>
      <c r="C45" s="1" t="s">
        <v>80</v>
      </c>
      <c r="D45" s="1" t="s">
        <v>18</v>
      </c>
    </row>
    <row r="46" spans="1:4">
      <c r="A46" s="1" t="s">
        <v>225</v>
      </c>
      <c r="B46" s="1" t="s">
        <v>294</v>
      </c>
      <c r="C46" s="1" t="s">
        <v>25</v>
      </c>
      <c r="D46" s="1" t="s">
        <v>18</v>
      </c>
    </row>
    <row r="47" spans="1:4">
      <c r="A47" s="1" t="s">
        <v>9</v>
      </c>
      <c r="B47" s="1" t="s">
        <v>294</v>
      </c>
      <c r="C47" s="1" t="s">
        <v>5</v>
      </c>
      <c r="D47" s="1" t="s">
        <v>10</v>
      </c>
    </row>
    <row r="48" spans="1:4">
      <c r="A48" s="1" t="s">
        <v>73</v>
      </c>
      <c r="B48" s="1" t="s">
        <v>294</v>
      </c>
      <c r="C48" s="1" t="s">
        <v>5</v>
      </c>
      <c r="D48" s="1" t="s">
        <v>10</v>
      </c>
    </row>
    <row r="49" spans="1:4">
      <c r="A49" s="1" t="s">
        <v>284</v>
      </c>
      <c r="B49" s="1" t="s">
        <v>294</v>
      </c>
      <c r="C49" s="1" t="s">
        <v>5</v>
      </c>
      <c r="D49" s="1" t="s">
        <v>10</v>
      </c>
    </row>
    <row r="50" spans="1:4">
      <c r="A50" s="1" t="s">
        <v>98</v>
      </c>
      <c r="B50" s="1" t="s">
        <v>294</v>
      </c>
      <c r="C50" s="1" t="s">
        <v>5</v>
      </c>
      <c r="D50" s="1" t="s">
        <v>10</v>
      </c>
    </row>
    <row r="51" spans="1:4">
      <c r="A51" s="1" t="s">
        <v>41</v>
      </c>
      <c r="B51" s="1" t="s">
        <v>294</v>
      </c>
      <c r="C51" s="1" t="s">
        <v>5</v>
      </c>
      <c r="D51" s="1" t="s">
        <v>10</v>
      </c>
    </row>
    <row r="52" spans="1:4">
      <c r="A52" s="1" t="s">
        <v>141</v>
      </c>
      <c r="B52" s="1" t="s">
        <v>294</v>
      </c>
      <c r="C52" s="1" t="s">
        <v>80</v>
      </c>
      <c r="D52" s="1" t="s">
        <v>18</v>
      </c>
    </row>
    <row r="53" spans="1:4">
      <c r="A53" s="1" t="s">
        <v>303</v>
      </c>
      <c r="B53" s="1" t="s">
        <v>294</v>
      </c>
      <c r="C53" s="1" t="s">
        <v>304</v>
      </c>
      <c r="D53" s="1" t="s">
        <v>10</v>
      </c>
    </row>
    <row r="54" spans="1:4">
      <c r="A54" s="1" t="s">
        <v>81</v>
      </c>
      <c r="B54" s="1" t="s">
        <v>294</v>
      </c>
      <c r="C54" s="1" t="s">
        <v>80</v>
      </c>
      <c r="D54" s="1" t="s">
        <v>7</v>
      </c>
    </row>
    <row r="55" spans="1:4">
      <c r="A55" s="1" t="s">
        <v>131</v>
      </c>
      <c r="B55" s="1" t="s">
        <v>294</v>
      </c>
      <c r="C55" s="1" t="s">
        <v>118</v>
      </c>
      <c r="D55" s="1" t="s">
        <v>10</v>
      </c>
    </row>
    <row r="56" spans="1:4">
      <c r="A56" s="1" t="s">
        <v>104</v>
      </c>
      <c r="B56" s="1" t="s">
        <v>294</v>
      </c>
      <c r="C56" s="1" t="s">
        <v>304</v>
      </c>
      <c r="D56" s="1" t="s">
        <v>10</v>
      </c>
    </row>
    <row r="57" spans="1:4">
      <c r="A57" s="1" t="s">
        <v>130</v>
      </c>
      <c r="B57" s="1" t="s">
        <v>294</v>
      </c>
      <c r="C57" s="1" t="s">
        <v>118</v>
      </c>
      <c r="D57" s="1" t="s">
        <v>7</v>
      </c>
    </row>
    <row r="58" spans="1:4">
      <c r="A58" s="1" t="s">
        <v>193</v>
      </c>
      <c r="B58" s="1" t="s">
        <v>294</v>
      </c>
      <c r="C58" s="1" t="s">
        <v>118</v>
      </c>
      <c r="D58" s="1" t="s">
        <v>7</v>
      </c>
    </row>
    <row r="59" spans="1:4">
      <c r="A59" s="1" t="s">
        <v>107</v>
      </c>
      <c r="B59" s="1" t="s">
        <v>294</v>
      </c>
      <c r="C59" s="1" t="s">
        <v>118</v>
      </c>
      <c r="D59" s="1" t="s">
        <v>18</v>
      </c>
    </row>
    <row r="60" spans="1:4">
      <c r="A60" s="1" t="s">
        <v>59</v>
      </c>
      <c r="B60" s="1" t="s">
        <v>294</v>
      </c>
      <c r="C60" s="1" t="s">
        <v>118</v>
      </c>
      <c r="D60" s="1" t="s">
        <v>10</v>
      </c>
    </row>
    <row r="61" spans="1:4">
      <c r="A61" s="1" t="s">
        <v>305</v>
      </c>
      <c r="B61" s="1" t="s">
        <v>294</v>
      </c>
      <c r="C61" s="1" t="s">
        <v>5</v>
      </c>
      <c r="D61" s="1" t="s">
        <v>10</v>
      </c>
    </row>
    <row r="62" spans="1:4">
      <c r="A62" s="1" t="s">
        <v>306</v>
      </c>
      <c r="B62" s="1" t="s">
        <v>294</v>
      </c>
      <c r="C62" s="1" t="s">
        <v>25</v>
      </c>
      <c r="D62" s="1" t="s">
        <v>10</v>
      </c>
    </row>
    <row r="63" spans="1:4">
      <c r="A63" s="1" t="s">
        <v>307</v>
      </c>
      <c r="B63" s="1" t="s">
        <v>294</v>
      </c>
      <c r="C63" s="1" t="s">
        <v>25</v>
      </c>
      <c r="D63" s="1" t="s">
        <v>42</v>
      </c>
    </row>
    <row r="64" spans="1:4">
      <c r="A64" s="1" t="s">
        <v>308</v>
      </c>
      <c r="B64" s="1" t="s">
        <v>294</v>
      </c>
      <c r="C64" s="1" t="s">
        <v>25</v>
      </c>
      <c r="D64" s="1" t="s">
        <v>10</v>
      </c>
    </row>
    <row r="65" spans="1:4">
      <c r="A65" s="1" t="s">
        <v>119</v>
      </c>
      <c r="B65" s="1" t="s">
        <v>294</v>
      </c>
      <c r="C65" s="1" t="s">
        <v>118</v>
      </c>
      <c r="D65" s="1" t="s">
        <v>18</v>
      </c>
    </row>
    <row r="66" spans="1:4">
      <c r="A66" s="1" t="s">
        <v>309</v>
      </c>
      <c r="B66" s="1" t="s">
        <v>294</v>
      </c>
      <c r="C66" s="1" t="s">
        <v>310</v>
      </c>
      <c r="D66" s="1" t="s">
        <v>7</v>
      </c>
    </row>
    <row r="67" spans="1:4">
      <c r="A67" s="1" t="s">
        <v>311</v>
      </c>
      <c r="B67" s="1" t="s">
        <v>294</v>
      </c>
      <c r="C67" s="1" t="s">
        <v>310</v>
      </c>
      <c r="D67" s="1" t="s">
        <v>7</v>
      </c>
    </row>
    <row r="68" spans="1:4">
      <c r="A68" s="1" t="s">
        <v>312</v>
      </c>
      <c r="B68" s="1" t="s">
        <v>294</v>
      </c>
      <c r="C68" s="1" t="s">
        <v>310</v>
      </c>
      <c r="D68" s="1" t="s">
        <v>10</v>
      </c>
    </row>
    <row r="69" spans="1:4">
      <c r="A69" s="1" t="s">
        <v>313</v>
      </c>
      <c r="B69" s="1" t="s">
        <v>294</v>
      </c>
      <c r="C69" s="1" t="s">
        <v>118</v>
      </c>
      <c r="D69" s="1" t="s">
        <v>10</v>
      </c>
    </row>
    <row r="70" spans="1:4">
      <c r="A70" s="1" t="s">
        <v>314</v>
      </c>
      <c r="B70" s="1" t="s">
        <v>315</v>
      </c>
      <c r="C70" s="1" t="s">
        <v>5</v>
      </c>
      <c r="D70" s="1" t="s">
        <v>21</v>
      </c>
    </row>
    <row r="71" spans="1:4">
      <c r="A71" s="1" t="s">
        <v>271</v>
      </c>
      <c r="B71" s="1" t="s">
        <v>315</v>
      </c>
      <c r="C71" s="1" t="s">
        <v>310</v>
      </c>
      <c r="D71" s="1" t="s">
        <v>27</v>
      </c>
    </row>
    <row r="72" spans="1:4">
      <c r="A72" s="1" t="s">
        <v>316</v>
      </c>
      <c r="B72" s="1" t="s">
        <v>315</v>
      </c>
      <c r="C72" s="1" t="s">
        <v>310</v>
      </c>
      <c r="D72" s="1" t="s">
        <v>97</v>
      </c>
    </row>
    <row r="73" spans="1:4">
      <c r="A73" s="1" t="s">
        <v>273</v>
      </c>
      <c r="B73" s="1" t="s">
        <v>315</v>
      </c>
      <c r="C73" s="1" t="s">
        <v>5</v>
      </c>
      <c r="D73" s="1" t="s">
        <v>58</v>
      </c>
    </row>
    <row r="74" spans="1:4">
      <c r="A74" s="1" t="s">
        <v>317</v>
      </c>
      <c r="B74" s="1" t="s">
        <v>315</v>
      </c>
      <c r="C74" s="1" t="s">
        <v>310</v>
      </c>
      <c r="D74" s="1" t="s">
        <v>27</v>
      </c>
    </row>
    <row r="75" spans="1:4">
      <c r="A75" s="1" t="s">
        <v>318</v>
      </c>
      <c r="B75" s="1" t="s">
        <v>315</v>
      </c>
      <c r="C75" s="1" t="s">
        <v>310</v>
      </c>
      <c r="D75" s="1" t="s">
        <v>27</v>
      </c>
    </row>
    <row r="76" spans="1:4">
      <c r="A76" s="1" t="s">
        <v>319</v>
      </c>
      <c r="B76" s="1" t="s">
        <v>315</v>
      </c>
      <c r="C76" s="1" t="s">
        <v>310</v>
      </c>
      <c r="D76" s="1" t="s">
        <v>27</v>
      </c>
    </row>
    <row r="77" spans="1:4">
      <c r="A77" s="1" t="s">
        <v>175</v>
      </c>
      <c r="B77" s="1" t="s">
        <v>315</v>
      </c>
      <c r="C77" s="1" t="s">
        <v>310</v>
      </c>
      <c r="D77" s="1" t="s">
        <v>27</v>
      </c>
    </row>
    <row r="78" spans="1:4">
      <c r="A78" s="1" t="s">
        <v>258</v>
      </c>
      <c r="B78" s="1" t="s">
        <v>315</v>
      </c>
      <c r="C78" s="1" t="s">
        <v>310</v>
      </c>
      <c r="D78" s="1" t="s">
        <v>147</v>
      </c>
    </row>
    <row r="79" spans="1:4">
      <c r="A79" s="1" t="s">
        <v>245</v>
      </c>
      <c r="B79" s="1" t="s">
        <v>315</v>
      </c>
      <c r="C79" s="1" t="s">
        <v>310</v>
      </c>
      <c r="D79" s="1" t="s">
        <v>27</v>
      </c>
    </row>
    <row r="80" spans="1:4">
      <c r="A80" s="1" t="s">
        <v>320</v>
      </c>
      <c r="B80" s="1" t="s">
        <v>315</v>
      </c>
      <c r="C80" s="1" t="s">
        <v>310</v>
      </c>
      <c r="D80" s="1" t="s">
        <v>27</v>
      </c>
    </row>
    <row r="81" spans="1:4">
      <c r="A81" s="1" t="s">
        <v>89</v>
      </c>
      <c r="B81" s="1" t="s">
        <v>315</v>
      </c>
      <c r="C81" s="1" t="s">
        <v>310</v>
      </c>
      <c r="D81" s="1" t="s">
        <v>27</v>
      </c>
    </row>
    <row r="82" spans="1:4">
      <c r="A82" s="1" t="s">
        <v>321</v>
      </c>
      <c r="B82" s="1" t="s">
        <v>315</v>
      </c>
      <c r="C82" s="1" t="s">
        <v>310</v>
      </c>
      <c r="D82" s="1" t="s">
        <v>27</v>
      </c>
    </row>
    <row r="83" spans="1:4">
      <c r="A83" s="1" t="s">
        <v>70</v>
      </c>
      <c r="B83" s="1" t="s">
        <v>315</v>
      </c>
      <c r="C83" s="1" t="s">
        <v>5</v>
      </c>
      <c r="D83" s="1" t="s">
        <v>23</v>
      </c>
    </row>
    <row r="84" spans="1:4">
      <c r="A84" s="1" t="s">
        <v>105</v>
      </c>
      <c r="B84" s="1" t="s">
        <v>315</v>
      </c>
      <c r="C84" s="1" t="s">
        <v>310</v>
      </c>
      <c r="D84" s="1" t="s">
        <v>88</v>
      </c>
    </row>
    <row r="85" spans="1:4">
      <c r="A85" s="1" t="s">
        <v>322</v>
      </c>
      <c r="B85" s="1" t="s">
        <v>315</v>
      </c>
      <c r="C85" s="1" t="s">
        <v>5</v>
      </c>
      <c r="D85" s="1" t="s">
        <v>47</v>
      </c>
    </row>
    <row r="86" spans="1:4">
      <c r="A86" s="1" t="s">
        <v>323</v>
      </c>
      <c r="B86" s="1" t="s">
        <v>315</v>
      </c>
      <c r="C86" s="1" t="s">
        <v>5</v>
      </c>
      <c r="D86" s="1" t="s">
        <v>15</v>
      </c>
    </row>
    <row r="87" spans="1:4">
      <c r="A87" s="1" t="s">
        <v>50</v>
      </c>
      <c r="B87" s="1" t="s">
        <v>315</v>
      </c>
      <c r="C87" s="1" t="s">
        <v>5</v>
      </c>
      <c r="D87" s="1" t="s">
        <v>15</v>
      </c>
    </row>
    <row r="88" spans="1:4">
      <c r="A88" s="1" t="s">
        <v>242</v>
      </c>
      <c r="B88" s="1" t="s">
        <v>315</v>
      </c>
      <c r="C88" s="1" t="s">
        <v>5</v>
      </c>
      <c r="D88" s="1" t="s">
        <v>15</v>
      </c>
    </row>
    <row r="89" spans="1:4">
      <c r="A89" s="1" t="s">
        <v>324</v>
      </c>
      <c r="B89" s="1" t="s">
        <v>315</v>
      </c>
      <c r="C89" s="1" t="s">
        <v>5</v>
      </c>
      <c r="D89" s="1" t="s">
        <v>32</v>
      </c>
    </row>
    <row r="90" spans="1:4">
      <c r="A90" s="1" t="s">
        <v>183</v>
      </c>
      <c r="B90" s="1" t="s">
        <v>315</v>
      </c>
      <c r="C90" s="1" t="s">
        <v>5</v>
      </c>
      <c r="D90" s="1" t="s">
        <v>21</v>
      </c>
    </row>
    <row r="91" spans="1:4">
      <c r="A91" s="1" t="s">
        <v>325</v>
      </c>
      <c r="B91" s="1" t="s">
        <v>315</v>
      </c>
      <c r="C91" s="1" t="s">
        <v>310</v>
      </c>
      <c r="D91" s="1" t="s">
        <v>47</v>
      </c>
    </row>
    <row r="92" spans="1:4">
      <c r="A92" s="1" t="s">
        <v>326</v>
      </c>
      <c r="B92" s="1" t="s">
        <v>315</v>
      </c>
      <c r="C92" s="1" t="s">
        <v>5</v>
      </c>
      <c r="D92" s="1" t="s">
        <v>15</v>
      </c>
    </row>
    <row r="93" spans="1:4">
      <c r="A93" s="1" t="s">
        <v>327</v>
      </c>
      <c r="B93" s="1" t="s">
        <v>315</v>
      </c>
      <c r="C93" s="1" t="s">
        <v>310</v>
      </c>
      <c r="D93" s="1" t="s">
        <v>32</v>
      </c>
    </row>
    <row r="94" spans="1:4">
      <c r="A94" s="1" t="s">
        <v>155</v>
      </c>
      <c r="B94" s="1" t="s">
        <v>315</v>
      </c>
      <c r="C94" s="1" t="s">
        <v>5</v>
      </c>
      <c r="D94" s="1" t="s">
        <v>15</v>
      </c>
    </row>
    <row r="95" spans="1:4">
      <c r="A95" s="1" t="s">
        <v>96</v>
      </c>
      <c r="B95" s="1" t="s">
        <v>315</v>
      </c>
      <c r="C95" s="1" t="s">
        <v>310</v>
      </c>
      <c r="D95" s="1" t="s">
        <v>34</v>
      </c>
    </row>
    <row r="96" spans="1:4">
      <c r="A96" s="1" t="s">
        <v>328</v>
      </c>
      <c r="B96" s="1" t="s">
        <v>315</v>
      </c>
      <c r="C96" s="1" t="s">
        <v>5</v>
      </c>
      <c r="D96" s="1" t="s">
        <v>29</v>
      </c>
    </row>
    <row r="97" spans="1:4">
      <c r="A97" s="1" t="s">
        <v>168</v>
      </c>
      <c r="B97" s="1" t="s">
        <v>315</v>
      </c>
      <c r="C97" s="1" t="s">
        <v>5</v>
      </c>
      <c r="D97" s="1" t="s">
        <v>21</v>
      </c>
    </row>
    <row r="98" spans="1:4">
      <c r="A98" s="1" t="s">
        <v>121</v>
      </c>
      <c r="B98" s="1" t="s">
        <v>315</v>
      </c>
      <c r="C98" s="1" t="s">
        <v>310</v>
      </c>
      <c r="D98" s="1" t="s">
        <v>97</v>
      </c>
    </row>
    <row r="99" spans="1:4">
      <c r="A99" s="1" t="s">
        <v>213</v>
      </c>
      <c r="B99" s="1" t="s">
        <v>315</v>
      </c>
      <c r="C99" s="1" t="s">
        <v>310</v>
      </c>
      <c r="D99" s="1" t="s">
        <v>97</v>
      </c>
    </row>
    <row r="100" spans="1:4">
      <c r="A100" s="1" t="s">
        <v>219</v>
      </c>
      <c r="B100" s="1" t="s">
        <v>315</v>
      </c>
      <c r="C100" s="1" t="s">
        <v>310</v>
      </c>
      <c r="D100" s="1" t="s">
        <v>97</v>
      </c>
    </row>
    <row r="101" spans="1:4">
      <c r="A101" s="1" t="s">
        <v>235</v>
      </c>
      <c r="B101" s="1" t="s">
        <v>315</v>
      </c>
      <c r="C101" s="1" t="s">
        <v>5</v>
      </c>
      <c r="D101" s="1" t="s">
        <v>21</v>
      </c>
    </row>
    <row r="102" spans="1:4">
      <c r="A102" s="1" t="s">
        <v>329</v>
      </c>
      <c r="B102" s="1" t="s">
        <v>315</v>
      </c>
      <c r="C102" s="1" t="s">
        <v>5</v>
      </c>
      <c r="D102" s="1" t="s">
        <v>187</v>
      </c>
    </row>
    <row r="103" spans="1:4">
      <c r="A103" s="1" t="s">
        <v>330</v>
      </c>
      <c r="B103" s="1" t="s">
        <v>315</v>
      </c>
      <c r="C103" s="1" t="s">
        <v>5</v>
      </c>
      <c r="D103" s="1" t="s">
        <v>21</v>
      </c>
    </row>
    <row r="104" spans="1:4">
      <c r="A104" s="1" t="s">
        <v>132</v>
      </c>
      <c r="B104" s="1" t="s">
        <v>315</v>
      </c>
      <c r="C104" s="1" t="s">
        <v>5</v>
      </c>
      <c r="D104" s="1" t="s">
        <v>21</v>
      </c>
    </row>
    <row r="105" spans="1:4">
      <c r="A105" s="1" t="s">
        <v>30</v>
      </c>
      <c r="B105" s="1" t="s">
        <v>315</v>
      </c>
      <c r="C105" s="1" t="s">
        <v>5</v>
      </c>
      <c r="D105" s="1" t="s">
        <v>21</v>
      </c>
    </row>
    <row r="106" spans="1:4">
      <c r="A106" s="1" t="s">
        <v>181</v>
      </c>
      <c r="B106" s="1" t="s">
        <v>315</v>
      </c>
      <c r="C106" s="1" t="s">
        <v>5</v>
      </c>
      <c r="D106" s="1" t="s">
        <v>21</v>
      </c>
    </row>
    <row r="107" spans="1:4">
      <c r="A107" s="1" t="s">
        <v>331</v>
      </c>
      <c r="B107" s="1" t="s">
        <v>315</v>
      </c>
      <c r="C107" s="1" t="s">
        <v>5</v>
      </c>
      <c r="D107" s="1" t="s">
        <v>21</v>
      </c>
    </row>
    <row r="108" spans="1:4">
      <c r="A108" s="1" t="s">
        <v>195</v>
      </c>
      <c r="B108" s="1" t="s">
        <v>315</v>
      </c>
      <c r="C108" s="1" t="s">
        <v>5</v>
      </c>
      <c r="D108" s="1" t="s">
        <v>21</v>
      </c>
    </row>
    <row r="109" spans="1:4">
      <c r="A109" s="1" t="s">
        <v>332</v>
      </c>
      <c r="B109" s="1" t="s">
        <v>315</v>
      </c>
      <c r="C109" s="1" t="s">
        <v>5</v>
      </c>
      <c r="D109" s="1" t="s">
        <v>21</v>
      </c>
    </row>
    <row r="110" spans="1:4">
      <c r="A110" s="1" t="s">
        <v>333</v>
      </c>
      <c r="B110" s="1" t="s">
        <v>315</v>
      </c>
      <c r="C110" s="1" t="s">
        <v>310</v>
      </c>
      <c r="D110" s="1" t="s">
        <v>32</v>
      </c>
    </row>
    <row r="111" spans="1:4">
      <c r="A111" s="1" t="s">
        <v>143</v>
      </c>
      <c r="B111" s="1" t="s">
        <v>315</v>
      </c>
      <c r="C111" s="1" t="s">
        <v>5</v>
      </c>
      <c r="D111" s="1" t="s">
        <v>21</v>
      </c>
    </row>
    <row r="112" spans="1:4">
      <c r="A112" s="1" t="s">
        <v>22</v>
      </c>
      <c r="B112" s="1" t="s">
        <v>315</v>
      </c>
      <c r="C112" s="1" t="s">
        <v>310</v>
      </c>
      <c r="D112" s="1" t="s">
        <v>23</v>
      </c>
    </row>
    <row r="113" spans="1:4">
      <c r="A113" s="1" t="s">
        <v>334</v>
      </c>
      <c r="B113" s="1" t="s">
        <v>315</v>
      </c>
      <c r="C113" s="1" t="s">
        <v>5</v>
      </c>
      <c r="D113" s="1" t="s">
        <v>47</v>
      </c>
    </row>
    <row r="114" spans="1:4">
      <c r="A114" s="1" t="s">
        <v>255</v>
      </c>
      <c r="B114" s="1" t="s">
        <v>315</v>
      </c>
      <c r="C114" s="1" t="s">
        <v>5</v>
      </c>
      <c r="D114" s="1" t="s">
        <v>32</v>
      </c>
    </row>
    <row r="115" spans="1:4">
      <c r="A115" s="1" t="s">
        <v>335</v>
      </c>
      <c r="B115" s="1" t="s">
        <v>315</v>
      </c>
      <c r="C115" s="1" t="s">
        <v>310</v>
      </c>
      <c r="D115" s="1" t="s">
        <v>27</v>
      </c>
    </row>
    <row r="116" spans="1:4">
      <c r="A116" s="1" t="s">
        <v>336</v>
      </c>
      <c r="B116" s="1" t="s">
        <v>315</v>
      </c>
      <c r="C116" s="1" t="s">
        <v>310</v>
      </c>
      <c r="D116" s="1" t="s">
        <v>27</v>
      </c>
    </row>
    <row r="117" spans="1:4">
      <c r="A117" s="1" t="s">
        <v>174</v>
      </c>
      <c r="B117" s="1" t="s">
        <v>315</v>
      </c>
      <c r="C117" s="1" t="s">
        <v>5</v>
      </c>
      <c r="D117" s="1" t="s">
        <v>29</v>
      </c>
    </row>
    <row r="118" spans="1:4">
      <c r="A118" s="1" t="s">
        <v>146</v>
      </c>
      <c r="B118" s="1" t="s">
        <v>315</v>
      </c>
      <c r="C118" s="1" t="s">
        <v>310</v>
      </c>
      <c r="D118" s="1" t="s">
        <v>147</v>
      </c>
    </row>
    <row r="119" spans="1:4">
      <c r="A119" s="1" t="s">
        <v>102</v>
      </c>
      <c r="B119" s="1" t="s">
        <v>315</v>
      </c>
      <c r="C119" s="1" t="s">
        <v>5</v>
      </c>
      <c r="D119" s="1" t="s">
        <v>21</v>
      </c>
    </row>
    <row r="120" spans="1:4">
      <c r="A120" s="1" t="s">
        <v>203</v>
      </c>
      <c r="B120" s="1" t="s">
        <v>315</v>
      </c>
      <c r="C120" s="1" t="s">
        <v>5</v>
      </c>
      <c r="D120" s="1" t="s">
        <v>15</v>
      </c>
    </row>
    <row r="121" spans="1:4">
      <c r="A121" s="1" t="s">
        <v>40</v>
      </c>
      <c r="B121" s="1" t="s">
        <v>315</v>
      </c>
      <c r="C121" s="1" t="s">
        <v>5</v>
      </c>
      <c r="D121" s="1" t="s">
        <v>21</v>
      </c>
    </row>
    <row r="122" spans="1:4">
      <c r="A122" s="1" t="s">
        <v>337</v>
      </c>
      <c r="B122" s="1" t="s">
        <v>315</v>
      </c>
      <c r="C122" s="1" t="s">
        <v>5</v>
      </c>
      <c r="D122" s="1" t="s">
        <v>21</v>
      </c>
    </row>
    <row r="123" spans="1:4">
      <c r="A123" s="1" t="s">
        <v>338</v>
      </c>
      <c r="B123" s="1" t="s">
        <v>315</v>
      </c>
      <c r="C123" s="1" t="s">
        <v>310</v>
      </c>
      <c r="D123" s="1" t="s">
        <v>32</v>
      </c>
    </row>
    <row r="124" spans="1:4">
      <c r="A124" s="1" t="s">
        <v>256</v>
      </c>
      <c r="B124" s="1" t="s">
        <v>315</v>
      </c>
      <c r="C124" s="1" t="s">
        <v>5</v>
      </c>
      <c r="D124" s="1" t="s">
        <v>32</v>
      </c>
    </row>
    <row r="125" spans="1:4">
      <c r="A125" s="1" t="s">
        <v>167</v>
      </c>
      <c r="B125" s="1" t="s">
        <v>315</v>
      </c>
      <c r="C125" s="1" t="s">
        <v>310</v>
      </c>
      <c r="D125" s="1" t="s">
        <v>58</v>
      </c>
    </row>
    <row r="126" spans="1:4">
      <c r="A126" s="1" t="s">
        <v>339</v>
      </c>
      <c r="B126" s="1" t="s">
        <v>315</v>
      </c>
      <c r="C126" s="1" t="s">
        <v>310</v>
      </c>
      <c r="D126" s="1" t="s">
        <v>23</v>
      </c>
    </row>
    <row r="127" spans="1:4">
      <c r="A127" s="1" t="s">
        <v>208</v>
      </c>
      <c r="B127" s="1" t="s">
        <v>315</v>
      </c>
      <c r="C127" s="1" t="s">
        <v>310</v>
      </c>
      <c r="D127" s="1" t="s">
        <v>32</v>
      </c>
    </row>
    <row r="128" spans="1:4">
      <c r="A128" s="1" t="s">
        <v>340</v>
      </c>
      <c r="B128" s="1" t="s">
        <v>315</v>
      </c>
      <c r="C128" s="1" t="s">
        <v>5</v>
      </c>
      <c r="D128" s="1" t="s">
        <v>128</v>
      </c>
    </row>
    <row r="129" spans="1:4">
      <c r="A129" s="1" t="s">
        <v>46</v>
      </c>
      <c r="B129" s="1" t="s">
        <v>315</v>
      </c>
      <c r="C129" s="1" t="s">
        <v>310</v>
      </c>
      <c r="D129" s="1" t="s">
        <v>47</v>
      </c>
    </row>
    <row r="130" spans="1:4">
      <c r="A130" s="1" t="s">
        <v>249</v>
      </c>
      <c r="B130" s="1" t="s">
        <v>315</v>
      </c>
      <c r="C130" s="1" t="s">
        <v>310</v>
      </c>
      <c r="D130" s="1" t="s">
        <v>32</v>
      </c>
    </row>
    <row r="131" spans="1:4">
      <c r="A131" s="1" t="s">
        <v>341</v>
      </c>
      <c r="B131" s="1" t="s">
        <v>315</v>
      </c>
      <c r="C131" s="1" t="s">
        <v>25</v>
      </c>
      <c r="D131" s="1" t="s">
        <v>27</v>
      </c>
    </row>
    <row r="132" spans="1:4">
      <c r="A132" s="1" t="s">
        <v>74</v>
      </c>
      <c r="B132" s="1" t="s">
        <v>315</v>
      </c>
      <c r="C132" s="1" t="s">
        <v>25</v>
      </c>
      <c r="D132" s="1" t="s">
        <v>27</v>
      </c>
    </row>
    <row r="133" spans="1:4">
      <c r="A133" s="1" t="s">
        <v>342</v>
      </c>
      <c r="B133" s="1" t="s">
        <v>315</v>
      </c>
      <c r="C133" s="1" t="s">
        <v>310</v>
      </c>
      <c r="D133" s="1" t="s">
        <v>32</v>
      </c>
    </row>
    <row r="134" spans="1:4">
      <c r="A134" s="1" t="s">
        <v>343</v>
      </c>
      <c r="B134" s="1" t="s">
        <v>315</v>
      </c>
      <c r="C134" s="1" t="s">
        <v>25</v>
      </c>
      <c r="D134" s="1" t="s">
        <v>27</v>
      </c>
    </row>
    <row r="135" spans="1:4">
      <c r="A135" s="1" t="s">
        <v>344</v>
      </c>
      <c r="B135" s="1" t="s">
        <v>315</v>
      </c>
      <c r="C135" s="1" t="s">
        <v>310</v>
      </c>
      <c r="D135" s="1" t="s">
        <v>32</v>
      </c>
    </row>
    <row r="136" spans="1:4">
      <c r="A136" s="1" t="s">
        <v>35</v>
      </c>
      <c r="B136" s="1" t="s">
        <v>315</v>
      </c>
      <c r="C136" s="1" t="s">
        <v>25</v>
      </c>
      <c r="D136" s="1" t="s">
        <v>27</v>
      </c>
    </row>
    <row r="137" spans="1:4">
      <c r="A137" s="1" t="s">
        <v>253</v>
      </c>
      <c r="B137" s="1" t="s">
        <v>315</v>
      </c>
      <c r="C137" s="1" t="s">
        <v>25</v>
      </c>
      <c r="D137" s="1" t="s">
        <v>27</v>
      </c>
    </row>
    <row r="138" spans="1:4">
      <c r="A138" s="1" t="s">
        <v>345</v>
      </c>
      <c r="B138" s="1" t="s">
        <v>315</v>
      </c>
      <c r="C138" s="1" t="s">
        <v>310</v>
      </c>
      <c r="D138" s="1" t="s">
        <v>32</v>
      </c>
    </row>
    <row r="139" spans="1:4">
      <c r="A139" s="1" t="s">
        <v>173</v>
      </c>
      <c r="B139" s="1" t="s">
        <v>315</v>
      </c>
      <c r="C139" s="1" t="s">
        <v>310</v>
      </c>
      <c r="D139" s="1" t="s">
        <v>32</v>
      </c>
    </row>
    <row r="140" spans="1:4">
      <c r="A140" s="1" t="s">
        <v>346</v>
      </c>
      <c r="B140" s="1" t="s">
        <v>315</v>
      </c>
      <c r="C140" s="1" t="s">
        <v>310</v>
      </c>
      <c r="D140" s="1" t="s">
        <v>97</v>
      </c>
    </row>
    <row r="141" spans="1:4">
      <c r="A141" s="1" t="s">
        <v>160</v>
      </c>
      <c r="B141" s="1" t="s">
        <v>315</v>
      </c>
      <c r="C141" s="1" t="s">
        <v>310</v>
      </c>
      <c r="D141" s="1" t="s">
        <v>34</v>
      </c>
    </row>
    <row r="142" spans="1:4">
      <c r="A142" s="1" t="s">
        <v>347</v>
      </c>
      <c r="B142" s="1" t="s">
        <v>315</v>
      </c>
      <c r="C142" s="1" t="s">
        <v>25</v>
      </c>
      <c r="D142" s="1" t="s">
        <v>27</v>
      </c>
    </row>
    <row r="143" spans="1:4">
      <c r="A143" s="1" t="s">
        <v>129</v>
      </c>
      <c r="B143" s="1" t="s">
        <v>315</v>
      </c>
      <c r="C143" s="1" t="s">
        <v>25</v>
      </c>
      <c r="D143" s="1" t="s">
        <v>27</v>
      </c>
    </row>
    <row r="144" spans="1:4">
      <c r="A144" s="1" t="s">
        <v>106</v>
      </c>
      <c r="B144" s="1" t="s">
        <v>315</v>
      </c>
      <c r="C144" s="1" t="s">
        <v>310</v>
      </c>
      <c r="D144" s="1" t="s">
        <v>97</v>
      </c>
    </row>
    <row r="145" spans="1:4">
      <c r="A145" s="1" t="s">
        <v>348</v>
      </c>
      <c r="B145" s="1" t="s">
        <v>315</v>
      </c>
      <c r="C145" s="1" t="s">
        <v>310</v>
      </c>
      <c r="D145" s="1" t="s">
        <v>32</v>
      </c>
    </row>
    <row r="146" spans="1:4">
      <c r="A146" s="1" t="s">
        <v>36</v>
      </c>
      <c r="B146" s="1" t="s">
        <v>315</v>
      </c>
      <c r="C146" s="1" t="s">
        <v>310</v>
      </c>
      <c r="D146" s="1" t="s">
        <v>23</v>
      </c>
    </row>
    <row r="147" spans="1:4">
      <c r="A147" s="1" t="s">
        <v>349</v>
      </c>
      <c r="B147" s="1" t="s">
        <v>315</v>
      </c>
      <c r="C147" s="1" t="s">
        <v>310</v>
      </c>
      <c r="D147" s="1" t="s">
        <v>32</v>
      </c>
    </row>
    <row r="148" spans="1:4">
      <c r="A148" s="1" t="s">
        <v>57</v>
      </c>
      <c r="B148" s="1" t="s">
        <v>315</v>
      </c>
      <c r="C148" s="1" t="s">
        <v>310</v>
      </c>
      <c r="D148" s="1" t="s">
        <v>58</v>
      </c>
    </row>
    <row r="149" spans="1:4">
      <c r="A149" s="1" t="s">
        <v>350</v>
      </c>
      <c r="B149" s="1" t="s">
        <v>315</v>
      </c>
      <c r="C149" s="1" t="s">
        <v>310</v>
      </c>
      <c r="D149" s="1" t="s">
        <v>58</v>
      </c>
    </row>
    <row r="150" spans="1:4">
      <c r="A150" s="1" t="s">
        <v>91</v>
      </c>
      <c r="B150" s="1" t="s">
        <v>315</v>
      </c>
      <c r="C150" s="1" t="s">
        <v>25</v>
      </c>
      <c r="D150" s="1" t="s">
        <v>27</v>
      </c>
    </row>
    <row r="151" spans="1:4">
      <c r="A151" s="1" t="s">
        <v>99</v>
      </c>
      <c r="B151" s="1" t="s">
        <v>315</v>
      </c>
      <c r="C151" s="1" t="s">
        <v>25</v>
      </c>
      <c r="D151" s="1" t="s">
        <v>27</v>
      </c>
    </row>
    <row r="152" spans="1:4">
      <c r="A152" s="1" t="s">
        <v>351</v>
      </c>
      <c r="B152" s="1" t="s">
        <v>315</v>
      </c>
      <c r="C152" s="1" t="s">
        <v>310</v>
      </c>
      <c r="D152" s="1" t="s">
        <v>128</v>
      </c>
    </row>
    <row r="153" spans="1:4">
      <c r="A153" s="1" t="s">
        <v>87</v>
      </c>
      <c r="B153" s="1" t="s">
        <v>315</v>
      </c>
      <c r="C153" s="1" t="s">
        <v>310</v>
      </c>
      <c r="D153" s="1" t="s">
        <v>88</v>
      </c>
    </row>
    <row r="154" spans="1:4">
      <c r="A154" s="1" t="s">
        <v>352</v>
      </c>
      <c r="B154" s="1" t="s">
        <v>315</v>
      </c>
      <c r="C154" s="1" t="s">
        <v>310</v>
      </c>
      <c r="D154" s="1" t="s">
        <v>147</v>
      </c>
    </row>
    <row r="155" spans="1:4">
      <c r="A155" s="1" t="s">
        <v>353</v>
      </c>
      <c r="B155" s="1" t="s">
        <v>315</v>
      </c>
      <c r="C155" s="1" t="s">
        <v>25</v>
      </c>
      <c r="D155" s="1" t="s">
        <v>27</v>
      </c>
    </row>
    <row r="156" spans="1:4">
      <c r="A156" s="1" t="s">
        <v>117</v>
      </c>
      <c r="B156" s="1" t="s">
        <v>315</v>
      </c>
      <c r="C156" s="1" t="s">
        <v>25</v>
      </c>
      <c r="D156" s="1" t="s">
        <v>27</v>
      </c>
    </row>
    <row r="157" spans="1:4">
      <c r="A157" s="1" t="s">
        <v>224</v>
      </c>
      <c r="B157" s="1" t="s">
        <v>315</v>
      </c>
      <c r="C157" s="1" t="s">
        <v>25</v>
      </c>
      <c r="D157" s="1" t="s">
        <v>27</v>
      </c>
    </row>
    <row r="158" spans="1:4">
      <c r="A158" s="1" t="s">
        <v>71</v>
      </c>
      <c r="B158" s="1" t="s">
        <v>315</v>
      </c>
      <c r="C158" s="1" t="s">
        <v>25</v>
      </c>
      <c r="D158" s="1" t="s">
        <v>27</v>
      </c>
    </row>
    <row r="159" spans="1:4">
      <c r="A159" s="1" t="s">
        <v>185</v>
      </c>
      <c r="B159" s="1" t="s">
        <v>315</v>
      </c>
      <c r="C159" s="1" t="s">
        <v>5</v>
      </c>
      <c r="D159" s="1" t="s">
        <v>21</v>
      </c>
    </row>
    <row r="160" spans="1:4">
      <c r="A160" s="1" t="s">
        <v>83</v>
      </c>
      <c r="B160" s="1" t="s">
        <v>315</v>
      </c>
      <c r="C160" s="1" t="s">
        <v>25</v>
      </c>
      <c r="D160" s="1" t="s">
        <v>27</v>
      </c>
    </row>
    <row r="161" spans="1:4">
      <c r="A161" s="1" t="s">
        <v>26</v>
      </c>
      <c r="B161" s="1" t="s">
        <v>315</v>
      </c>
      <c r="C161" s="1" t="s">
        <v>25</v>
      </c>
      <c r="D161" s="1" t="s">
        <v>27</v>
      </c>
    </row>
    <row r="162" spans="1:4">
      <c r="A162" s="1" t="s">
        <v>72</v>
      </c>
      <c r="B162" s="1" t="s">
        <v>315</v>
      </c>
      <c r="C162" s="1" t="s">
        <v>5</v>
      </c>
      <c r="D162" s="1" t="s">
        <v>21</v>
      </c>
    </row>
    <row r="163" spans="1:4">
      <c r="A163" s="1" t="s">
        <v>354</v>
      </c>
      <c r="B163" s="1" t="s">
        <v>315</v>
      </c>
      <c r="C163" s="1" t="s">
        <v>310</v>
      </c>
      <c r="D163" s="1" t="s">
        <v>58</v>
      </c>
    </row>
    <row r="164" spans="1:4">
      <c r="A164" s="1" t="s">
        <v>355</v>
      </c>
      <c r="B164" s="1" t="s">
        <v>315</v>
      </c>
      <c r="C164" s="1" t="s">
        <v>310</v>
      </c>
      <c r="D164" s="1" t="s">
        <v>32</v>
      </c>
    </row>
    <row r="165" spans="1:4">
      <c r="A165" s="1" t="s">
        <v>31</v>
      </c>
      <c r="B165" s="1" t="s">
        <v>315</v>
      </c>
      <c r="C165" s="1" t="s">
        <v>310</v>
      </c>
      <c r="D165" s="1" t="s">
        <v>32</v>
      </c>
    </row>
    <row r="166" spans="1:4">
      <c r="A166" s="1" t="s">
        <v>356</v>
      </c>
      <c r="B166" s="1" t="s">
        <v>315</v>
      </c>
      <c r="C166" s="1" t="s">
        <v>310</v>
      </c>
      <c r="D166" s="1" t="s">
        <v>34</v>
      </c>
    </row>
    <row r="167" spans="1:4">
      <c r="A167" s="1" t="s">
        <v>172</v>
      </c>
      <c r="B167" s="1" t="s">
        <v>315</v>
      </c>
      <c r="C167" s="1" t="s">
        <v>5</v>
      </c>
      <c r="D167" s="1" t="s">
        <v>47</v>
      </c>
    </row>
    <row r="168" spans="1:4">
      <c r="A168" s="1" t="s">
        <v>357</v>
      </c>
      <c r="B168" s="1" t="s">
        <v>315</v>
      </c>
      <c r="C168" s="1" t="s">
        <v>310</v>
      </c>
      <c r="D168" s="1" t="s">
        <v>128</v>
      </c>
    </row>
    <row r="169" spans="1:4">
      <c r="A169" s="1" t="s">
        <v>358</v>
      </c>
      <c r="B169" s="1" t="s">
        <v>315</v>
      </c>
      <c r="C169" s="1" t="s">
        <v>170</v>
      </c>
      <c r="D169" s="1" t="s">
        <v>27</v>
      </c>
    </row>
    <row r="170" spans="1:4">
      <c r="A170" s="1" t="s">
        <v>179</v>
      </c>
      <c r="B170" s="1" t="s">
        <v>315</v>
      </c>
      <c r="C170" s="1" t="s">
        <v>170</v>
      </c>
      <c r="D170" s="1" t="s">
        <v>27</v>
      </c>
    </row>
    <row r="171" spans="1:4">
      <c r="A171" s="1" t="s">
        <v>359</v>
      </c>
      <c r="B171" s="1" t="s">
        <v>315</v>
      </c>
      <c r="C171" s="1" t="s">
        <v>170</v>
      </c>
      <c r="D171" s="1" t="s">
        <v>27</v>
      </c>
    </row>
    <row r="172" spans="1:4">
      <c r="A172" s="1" t="s">
        <v>265</v>
      </c>
      <c r="B172" s="1" t="s">
        <v>315</v>
      </c>
      <c r="C172" s="1" t="s">
        <v>5</v>
      </c>
      <c r="D172" s="1" t="s">
        <v>21</v>
      </c>
    </row>
    <row r="173" spans="1:4">
      <c r="A173" s="1" t="s">
        <v>139</v>
      </c>
      <c r="B173" s="1" t="s">
        <v>315</v>
      </c>
      <c r="C173" s="1" t="s">
        <v>5</v>
      </c>
      <c r="D173" s="1" t="s">
        <v>47</v>
      </c>
    </row>
    <row r="174" spans="1:4">
      <c r="A174" s="1" t="s">
        <v>360</v>
      </c>
      <c r="B174" s="1" t="s">
        <v>315</v>
      </c>
      <c r="C174" s="1" t="s">
        <v>5</v>
      </c>
      <c r="D174" s="1" t="s">
        <v>32</v>
      </c>
    </row>
    <row r="175" spans="1:4">
      <c r="A175" s="1" t="s">
        <v>361</v>
      </c>
      <c r="B175" s="1" t="s">
        <v>315</v>
      </c>
      <c r="C175" s="1" t="s">
        <v>310</v>
      </c>
      <c r="D175" s="1" t="s">
        <v>27</v>
      </c>
    </row>
    <row r="176" spans="1:4">
      <c r="A176" s="1" t="s">
        <v>204</v>
      </c>
      <c r="B176" s="1" t="s">
        <v>315</v>
      </c>
      <c r="C176" s="1" t="s">
        <v>5</v>
      </c>
      <c r="D176" s="1" t="s">
        <v>29</v>
      </c>
    </row>
    <row r="177" spans="1:4">
      <c r="A177" s="1" t="s">
        <v>209</v>
      </c>
      <c r="B177" s="1" t="s">
        <v>315</v>
      </c>
      <c r="C177" s="1" t="s">
        <v>68</v>
      </c>
      <c r="D177" s="1" t="s">
        <v>21</v>
      </c>
    </row>
    <row r="178" spans="1:4">
      <c r="A178" s="1" t="s">
        <v>69</v>
      </c>
      <c r="B178" s="1" t="s">
        <v>315</v>
      </c>
      <c r="C178" s="1" t="s">
        <v>68</v>
      </c>
      <c r="D178" s="1" t="s">
        <v>21</v>
      </c>
    </row>
    <row r="179" spans="1:4">
      <c r="A179" s="1" t="s">
        <v>362</v>
      </c>
      <c r="B179" s="1" t="s">
        <v>315</v>
      </c>
      <c r="C179" s="1" t="s">
        <v>68</v>
      </c>
      <c r="D179" s="1" t="s">
        <v>21</v>
      </c>
    </row>
    <row r="180" spans="1:4">
      <c r="A180" s="1" t="s">
        <v>363</v>
      </c>
      <c r="B180" s="1" t="s">
        <v>315</v>
      </c>
      <c r="C180" s="1" t="s">
        <v>5</v>
      </c>
      <c r="D180" s="1" t="s">
        <v>21</v>
      </c>
    </row>
    <row r="181" spans="1:4">
      <c r="A181" s="1" t="s">
        <v>176</v>
      </c>
      <c r="B181" s="1" t="s">
        <v>315</v>
      </c>
      <c r="C181" s="1" t="s">
        <v>68</v>
      </c>
      <c r="D181" s="1" t="s">
        <v>21</v>
      </c>
    </row>
    <row r="182" spans="1:4">
      <c r="A182" s="1" t="s">
        <v>212</v>
      </c>
      <c r="B182" s="1" t="s">
        <v>315</v>
      </c>
      <c r="C182" s="1" t="s">
        <v>68</v>
      </c>
      <c r="D182" s="1" t="s">
        <v>21</v>
      </c>
    </row>
    <row r="183" spans="1:4">
      <c r="A183" s="1" t="s">
        <v>210</v>
      </c>
      <c r="B183" s="1" t="s">
        <v>315</v>
      </c>
      <c r="C183" s="1" t="s">
        <v>5</v>
      </c>
      <c r="D183" s="1" t="s">
        <v>23</v>
      </c>
    </row>
    <row r="184" spans="1:4">
      <c r="A184" s="1" t="s">
        <v>364</v>
      </c>
      <c r="B184" s="1" t="s">
        <v>315</v>
      </c>
      <c r="C184" s="1" t="s">
        <v>68</v>
      </c>
      <c r="D184" s="1" t="s">
        <v>88</v>
      </c>
    </row>
    <row r="185" spans="1:4">
      <c r="A185" s="1" t="s">
        <v>230</v>
      </c>
      <c r="B185" s="1" t="s">
        <v>315</v>
      </c>
      <c r="C185" s="1" t="s">
        <v>68</v>
      </c>
      <c r="D185" s="1" t="s">
        <v>88</v>
      </c>
    </row>
    <row r="186" spans="1:4">
      <c r="A186" s="1" t="s">
        <v>365</v>
      </c>
      <c r="B186" s="1" t="s">
        <v>315</v>
      </c>
      <c r="C186" s="1" t="s">
        <v>68</v>
      </c>
      <c r="D186" s="1" t="s">
        <v>88</v>
      </c>
    </row>
    <row r="187" spans="1:4">
      <c r="A187" s="1" t="s">
        <v>366</v>
      </c>
      <c r="B187" s="1" t="s">
        <v>315</v>
      </c>
      <c r="C187" s="1" t="s">
        <v>68</v>
      </c>
      <c r="D187" s="1" t="s">
        <v>88</v>
      </c>
    </row>
    <row r="188" spans="1:4">
      <c r="A188" s="1" t="s">
        <v>217</v>
      </c>
      <c r="B188" s="1" t="s">
        <v>315</v>
      </c>
      <c r="C188" s="1" t="s">
        <v>68</v>
      </c>
      <c r="D188" s="1" t="s">
        <v>58</v>
      </c>
    </row>
    <row r="189" spans="1:4">
      <c r="A189" s="1" t="s">
        <v>367</v>
      </c>
      <c r="B189" s="1" t="s">
        <v>315</v>
      </c>
      <c r="C189" s="1" t="s">
        <v>68</v>
      </c>
      <c r="D189" s="1" t="s">
        <v>58</v>
      </c>
    </row>
    <row r="190" spans="1:4">
      <c r="A190" s="1" t="s">
        <v>368</v>
      </c>
      <c r="B190" s="1" t="s">
        <v>315</v>
      </c>
      <c r="C190" s="1" t="s">
        <v>13</v>
      </c>
      <c r="D190" s="1" t="s">
        <v>15</v>
      </c>
    </row>
    <row r="191" spans="1:4">
      <c r="A191" s="1" t="s">
        <v>205</v>
      </c>
      <c r="B191" s="1" t="s">
        <v>315</v>
      </c>
      <c r="C191" s="1" t="s">
        <v>13</v>
      </c>
      <c r="D191" s="1" t="s">
        <v>15</v>
      </c>
    </row>
    <row r="192" spans="1:4">
      <c r="A192" s="1" t="s">
        <v>369</v>
      </c>
      <c r="B192" s="1" t="s">
        <v>315</v>
      </c>
      <c r="C192" s="1" t="s">
        <v>68</v>
      </c>
      <c r="D192" s="1" t="s">
        <v>58</v>
      </c>
    </row>
    <row r="193" spans="1:4">
      <c r="A193" s="1" t="s">
        <v>252</v>
      </c>
      <c r="B193" s="1" t="s">
        <v>315</v>
      </c>
      <c r="C193" s="1" t="s">
        <v>13</v>
      </c>
      <c r="D193" s="1" t="s">
        <v>15</v>
      </c>
    </row>
    <row r="194" spans="1:4">
      <c r="A194" s="1" t="s">
        <v>370</v>
      </c>
      <c r="B194" s="1" t="s">
        <v>315</v>
      </c>
      <c r="C194" s="1" t="s">
        <v>13</v>
      </c>
      <c r="D194" s="1" t="s">
        <v>15</v>
      </c>
    </row>
    <row r="195" spans="1:4">
      <c r="A195" s="1" t="s">
        <v>371</v>
      </c>
      <c r="B195" s="1" t="s">
        <v>315</v>
      </c>
      <c r="C195" s="1" t="s">
        <v>5</v>
      </c>
      <c r="D195" s="1" t="s">
        <v>23</v>
      </c>
    </row>
    <row r="196" spans="1:4">
      <c r="A196" s="1" t="s">
        <v>133</v>
      </c>
      <c r="B196" s="1" t="s">
        <v>315</v>
      </c>
      <c r="C196" s="1" t="s">
        <v>13</v>
      </c>
      <c r="D196" s="1" t="s">
        <v>15</v>
      </c>
    </row>
    <row r="197" spans="1:4">
      <c r="A197" s="1" t="s">
        <v>372</v>
      </c>
      <c r="B197" s="1" t="s">
        <v>315</v>
      </c>
      <c r="C197" s="1" t="s">
        <v>5</v>
      </c>
      <c r="D197" s="1" t="s">
        <v>23</v>
      </c>
    </row>
    <row r="198" spans="1:4">
      <c r="A198" s="1" t="s">
        <v>116</v>
      </c>
      <c r="B198" s="1" t="s">
        <v>315</v>
      </c>
      <c r="C198" s="1" t="s">
        <v>5</v>
      </c>
      <c r="D198" s="1" t="s">
        <v>23</v>
      </c>
    </row>
    <row r="199" spans="1:4">
      <c r="A199" s="1" t="s">
        <v>127</v>
      </c>
      <c r="B199" s="1" t="s">
        <v>315</v>
      </c>
      <c r="C199" s="1" t="s">
        <v>5</v>
      </c>
      <c r="D199" s="1" t="s">
        <v>128</v>
      </c>
    </row>
    <row r="200" spans="1:4">
      <c r="A200" s="1" t="s">
        <v>241</v>
      </c>
      <c r="B200" s="1" t="s">
        <v>315</v>
      </c>
      <c r="C200" s="1" t="s">
        <v>5</v>
      </c>
      <c r="D200" s="1" t="s">
        <v>29</v>
      </c>
    </row>
    <row r="201" spans="1:4">
      <c r="A201" s="1" t="s">
        <v>63</v>
      </c>
      <c r="B201" s="1" t="s">
        <v>315</v>
      </c>
      <c r="C201" s="1" t="s">
        <v>13</v>
      </c>
      <c r="D201" s="1" t="s">
        <v>15</v>
      </c>
    </row>
    <row r="202" spans="1:4">
      <c r="A202" s="1" t="s">
        <v>264</v>
      </c>
      <c r="B202" s="1" t="s">
        <v>315</v>
      </c>
      <c r="C202" s="1" t="s">
        <v>13</v>
      </c>
      <c r="D202" s="1" t="s">
        <v>15</v>
      </c>
    </row>
    <row r="203" spans="1:4">
      <c r="A203" s="1" t="s">
        <v>270</v>
      </c>
      <c r="B203" s="1" t="s">
        <v>315</v>
      </c>
      <c r="C203" s="1" t="s">
        <v>13</v>
      </c>
      <c r="D203" s="1" t="s">
        <v>15</v>
      </c>
    </row>
    <row r="204" spans="1:4">
      <c r="A204" s="1" t="s">
        <v>373</v>
      </c>
      <c r="B204" s="1" t="s">
        <v>315</v>
      </c>
      <c r="C204" s="1" t="s">
        <v>5</v>
      </c>
      <c r="D204" s="1" t="s">
        <v>58</v>
      </c>
    </row>
    <row r="205" spans="1:4">
      <c r="A205" s="1" t="s">
        <v>149</v>
      </c>
      <c r="B205" s="1" t="s">
        <v>315</v>
      </c>
      <c r="C205" s="1" t="s">
        <v>5</v>
      </c>
      <c r="D205" s="1" t="s">
        <v>58</v>
      </c>
    </row>
    <row r="206" spans="1:4">
      <c r="A206" s="1" t="s">
        <v>374</v>
      </c>
      <c r="B206" s="1" t="s">
        <v>315</v>
      </c>
      <c r="C206" s="1" t="s">
        <v>310</v>
      </c>
      <c r="D206" s="1" t="s">
        <v>27</v>
      </c>
    </row>
    <row r="207" spans="1:4">
      <c r="A207" s="1" t="s">
        <v>375</v>
      </c>
      <c r="B207" s="1" t="s">
        <v>315</v>
      </c>
      <c r="C207" s="1" t="s">
        <v>310</v>
      </c>
      <c r="D207" s="1" t="s">
        <v>27</v>
      </c>
    </row>
    <row r="208" spans="1:4">
      <c r="A208" s="1" t="s">
        <v>20</v>
      </c>
      <c r="B208" s="1" t="s">
        <v>315</v>
      </c>
      <c r="C208" s="1" t="s">
        <v>5</v>
      </c>
      <c r="D208" s="1" t="s">
        <v>21</v>
      </c>
    </row>
    <row r="209" spans="1:4">
      <c r="A209" s="1" t="s">
        <v>376</v>
      </c>
      <c r="B209" s="1" t="s">
        <v>315</v>
      </c>
      <c r="C209" s="1" t="s">
        <v>68</v>
      </c>
      <c r="D209" s="1" t="s">
        <v>21</v>
      </c>
    </row>
    <row r="210" spans="1:4">
      <c r="A210" s="1" t="s">
        <v>162</v>
      </c>
      <c r="B210" s="1" t="s">
        <v>315</v>
      </c>
      <c r="C210" s="1" t="s">
        <v>68</v>
      </c>
      <c r="D210" s="1" t="s">
        <v>21</v>
      </c>
    </row>
    <row r="211" spans="1:4">
      <c r="A211" s="1" t="s">
        <v>85</v>
      </c>
      <c r="B211" s="1" t="s">
        <v>315</v>
      </c>
      <c r="C211" s="1" t="s">
        <v>75</v>
      </c>
      <c r="D211" s="1" t="s">
        <v>21</v>
      </c>
    </row>
    <row r="212" spans="1:4">
      <c r="A212" s="1" t="s">
        <v>125</v>
      </c>
      <c r="B212" s="1" t="s">
        <v>315</v>
      </c>
      <c r="C212" s="1" t="s">
        <v>75</v>
      </c>
      <c r="D212" s="1" t="s">
        <v>21</v>
      </c>
    </row>
    <row r="213" spans="1:4">
      <c r="A213" s="1" t="s">
        <v>161</v>
      </c>
      <c r="B213" s="1" t="s">
        <v>315</v>
      </c>
      <c r="C213" s="1" t="s">
        <v>5</v>
      </c>
      <c r="D213" s="1" t="s">
        <v>29</v>
      </c>
    </row>
    <row r="214" spans="1:4">
      <c r="A214" s="1" t="s">
        <v>202</v>
      </c>
      <c r="B214" s="1" t="s">
        <v>315</v>
      </c>
      <c r="C214" s="1" t="s">
        <v>5</v>
      </c>
      <c r="D214" s="1" t="s">
        <v>15</v>
      </c>
    </row>
    <row r="215" spans="1:4">
      <c r="A215" s="1" t="s">
        <v>164</v>
      </c>
      <c r="B215" s="1" t="s">
        <v>315</v>
      </c>
      <c r="C215" s="1" t="s">
        <v>75</v>
      </c>
      <c r="D215" s="1" t="s">
        <v>21</v>
      </c>
    </row>
    <row r="216" spans="1:4">
      <c r="A216" s="1" t="s">
        <v>166</v>
      </c>
      <c r="B216" s="1" t="s">
        <v>315</v>
      </c>
      <c r="C216" s="1" t="s">
        <v>75</v>
      </c>
      <c r="D216" s="1" t="s">
        <v>21</v>
      </c>
    </row>
    <row r="217" spans="1:4">
      <c r="A217" s="1" t="s">
        <v>178</v>
      </c>
      <c r="B217" s="1" t="s">
        <v>315</v>
      </c>
      <c r="C217" s="1" t="s">
        <v>75</v>
      </c>
      <c r="D217" s="1" t="s">
        <v>21</v>
      </c>
    </row>
    <row r="218" spans="1:4">
      <c r="A218" s="1" t="s">
        <v>112</v>
      </c>
      <c r="B218" s="1" t="s">
        <v>315</v>
      </c>
      <c r="C218" s="1" t="s">
        <v>310</v>
      </c>
      <c r="D218" s="1" t="s">
        <v>23</v>
      </c>
    </row>
    <row r="219" spans="1:4">
      <c r="A219" s="1" t="s">
        <v>137</v>
      </c>
      <c r="B219" s="1" t="s">
        <v>315</v>
      </c>
      <c r="C219" s="1" t="s">
        <v>25</v>
      </c>
      <c r="D219" s="1" t="s">
        <v>29</v>
      </c>
    </row>
    <row r="220" spans="1:4">
      <c r="A220" s="1" t="s">
        <v>211</v>
      </c>
      <c r="B220" s="1" t="s">
        <v>315</v>
      </c>
      <c r="C220" s="1" t="s">
        <v>25</v>
      </c>
      <c r="D220" s="1" t="s">
        <v>29</v>
      </c>
    </row>
    <row r="221" spans="1:4">
      <c r="A221" s="1" t="s">
        <v>274</v>
      </c>
      <c r="B221" s="1" t="s">
        <v>315</v>
      </c>
      <c r="C221" s="1" t="s">
        <v>5</v>
      </c>
      <c r="D221" s="1" t="s">
        <v>47</v>
      </c>
    </row>
    <row r="222" spans="1:4">
      <c r="A222" s="1" t="s">
        <v>377</v>
      </c>
      <c r="B222" s="1" t="s">
        <v>315</v>
      </c>
      <c r="C222" s="1" t="s">
        <v>25</v>
      </c>
      <c r="D222" s="1" t="s">
        <v>128</v>
      </c>
    </row>
    <row r="223" spans="1:4">
      <c r="A223" s="1" t="s">
        <v>378</v>
      </c>
      <c r="B223" s="1" t="s">
        <v>315</v>
      </c>
      <c r="C223" s="1" t="s">
        <v>68</v>
      </c>
      <c r="D223" s="1" t="s">
        <v>88</v>
      </c>
    </row>
    <row r="224" spans="1:4">
      <c r="A224" s="1" t="s">
        <v>379</v>
      </c>
      <c r="B224" s="1" t="s">
        <v>315</v>
      </c>
      <c r="C224" s="1" t="s">
        <v>68</v>
      </c>
      <c r="D224" s="1" t="s">
        <v>88</v>
      </c>
    </row>
    <row r="225" spans="1:4">
      <c r="A225" s="1" t="s">
        <v>380</v>
      </c>
      <c r="B225" s="1" t="s">
        <v>315</v>
      </c>
      <c r="C225" s="1" t="s">
        <v>68</v>
      </c>
      <c r="D225" s="1" t="s">
        <v>88</v>
      </c>
    </row>
    <row r="226" spans="1:4">
      <c r="A226" s="1" t="s">
        <v>247</v>
      </c>
      <c r="B226" s="1" t="s">
        <v>315</v>
      </c>
      <c r="C226" s="1" t="s">
        <v>68</v>
      </c>
      <c r="D226" s="1" t="s">
        <v>58</v>
      </c>
    </row>
    <row r="227" spans="1:4">
      <c r="A227" s="1" t="s">
        <v>184</v>
      </c>
      <c r="B227" s="1" t="s">
        <v>315</v>
      </c>
      <c r="C227" s="1" t="s">
        <v>68</v>
      </c>
      <c r="D227" s="1" t="s">
        <v>88</v>
      </c>
    </row>
    <row r="228" spans="1:4">
      <c r="A228" s="1" t="s">
        <v>159</v>
      </c>
      <c r="B228" s="1" t="s">
        <v>315</v>
      </c>
      <c r="C228" s="1" t="s">
        <v>68</v>
      </c>
      <c r="D228" s="1" t="s">
        <v>88</v>
      </c>
    </row>
    <row r="229" spans="1:4">
      <c r="A229" s="1" t="s">
        <v>237</v>
      </c>
      <c r="B229" s="1" t="s">
        <v>315</v>
      </c>
      <c r="C229" s="1" t="s">
        <v>68</v>
      </c>
      <c r="D229" s="1" t="s">
        <v>88</v>
      </c>
    </row>
    <row r="230" spans="1:4">
      <c r="A230" s="1" t="s">
        <v>381</v>
      </c>
      <c r="B230" s="1" t="s">
        <v>315</v>
      </c>
      <c r="C230" s="1" t="s">
        <v>75</v>
      </c>
      <c r="D230" s="1" t="s">
        <v>21</v>
      </c>
    </row>
    <row r="231" spans="1:4">
      <c r="A231" s="1" t="s">
        <v>135</v>
      </c>
      <c r="B231" s="1" t="s">
        <v>315</v>
      </c>
      <c r="C231" s="1" t="s">
        <v>75</v>
      </c>
      <c r="D231" s="1" t="s">
        <v>21</v>
      </c>
    </row>
    <row r="232" spans="1:4">
      <c r="A232" s="1" t="s">
        <v>123</v>
      </c>
      <c r="B232" s="1" t="s">
        <v>315</v>
      </c>
      <c r="C232" s="1" t="s">
        <v>25</v>
      </c>
      <c r="D232" s="1" t="s">
        <v>29</v>
      </c>
    </row>
    <row r="233" spans="1:4">
      <c r="A233" s="1" t="s">
        <v>382</v>
      </c>
      <c r="B233" s="1" t="s">
        <v>315</v>
      </c>
      <c r="C233" s="1" t="s">
        <v>25</v>
      </c>
      <c r="D233" s="1" t="s">
        <v>29</v>
      </c>
    </row>
    <row r="234" spans="1:4">
      <c r="A234" s="1" t="s">
        <v>383</v>
      </c>
      <c r="B234" s="1" t="s">
        <v>315</v>
      </c>
      <c r="C234" s="1" t="s">
        <v>25</v>
      </c>
      <c r="D234" s="1" t="s">
        <v>34</v>
      </c>
    </row>
    <row r="235" spans="1:4">
      <c r="A235" s="1" t="s">
        <v>384</v>
      </c>
      <c r="B235" s="1" t="s">
        <v>315</v>
      </c>
      <c r="C235" s="1" t="s">
        <v>25</v>
      </c>
      <c r="D235" s="1" t="s">
        <v>128</v>
      </c>
    </row>
    <row r="236" spans="1:4">
      <c r="A236" s="1" t="s">
        <v>240</v>
      </c>
      <c r="B236" s="1" t="s">
        <v>315</v>
      </c>
      <c r="C236" s="1" t="s">
        <v>5</v>
      </c>
      <c r="D236" s="1" t="s">
        <v>187</v>
      </c>
    </row>
    <row r="237" spans="1:4">
      <c r="A237" s="1" t="s">
        <v>95</v>
      </c>
      <c r="B237" s="1" t="s">
        <v>315</v>
      </c>
      <c r="C237" s="1" t="s">
        <v>25</v>
      </c>
      <c r="D237" s="1" t="s">
        <v>29</v>
      </c>
    </row>
    <row r="238" spans="1:4">
      <c r="A238" s="1" t="s">
        <v>385</v>
      </c>
      <c r="B238" s="1" t="s">
        <v>315</v>
      </c>
      <c r="C238" s="1" t="s">
        <v>25</v>
      </c>
      <c r="D238" s="1" t="s">
        <v>29</v>
      </c>
    </row>
    <row r="239" spans="1:4">
      <c r="A239" s="1" t="s">
        <v>386</v>
      </c>
      <c r="B239" s="1" t="s">
        <v>315</v>
      </c>
      <c r="C239" s="1" t="s">
        <v>25</v>
      </c>
      <c r="D239" s="1" t="s">
        <v>29</v>
      </c>
    </row>
    <row r="240" spans="1:4">
      <c r="A240" s="1" t="s">
        <v>387</v>
      </c>
      <c r="B240" s="1" t="s">
        <v>315</v>
      </c>
      <c r="C240" s="1" t="s">
        <v>310</v>
      </c>
      <c r="D240" s="1" t="s">
        <v>128</v>
      </c>
    </row>
    <row r="241" spans="1:4">
      <c r="A241" s="1" t="s">
        <v>226</v>
      </c>
      <c r="B241" s="1" t="s">
        <v>315</v>
      </c>
      <c r="C241" s="1" t="s">
        <v>25</v>
      </c>
      <c r="D241" s="1" t="s">
        <v>128</v>
      </c>
    </row>
    <row r="242" spans="1:4">
      <c r="A242" s="1" t="s">
        <v>280</v>
      </c>
      <c r="B242" s="1" t="s">
        <v>315</v>
      </c>
      <c r="C242" s="1" t="s">
        <v>25</v>
      </c>
      <c r="D242" s="1" t="s">
        <v>29</v>
      </c>
    </row>
    <row r="243" spans="1:4">
      <c r="A243" s="1" t="s">
        <v>76</v>
      </c>
      <c r="B243" s="1" t="s">
        <v>315</v>
      </c>
      <c r="C243" s="1" t="s">
        <v>75</v>
      </c>
      <c r="D243" s="1" t="s">
        <v>21</v>
      </c>
    </row>
    <row r="244" spans="1:4">
      <c r="A244" s="1" t="s">
        <v>153</v>
      </c>
      <c r="B244" s="1" t="s">
        <v>315</v>
      </c>
      <c r="C244" s="1" t="s">
        <v>25</v>
      </c>
      <c r="D244" s="1" t="s">
        <v>34</v>
      </c>
    </row>
    <row r="245" spans="1:4">
      <c r="A245" s="1" t="s">
        <v>214</v>
      </c>
      <c r="B245" s="1" t="s">
        <v>315</v>
      </c>
      <c r="C245" s="1" t="s">
        <v>25</v>
      </c>
      <c r="D245" s="1" t="s">
        <v>34</v>
      </c>
    </row>
    <row r="246" spans="1:4">
      <c r="A246" s="1" t="s">
        <v>122</v>
      </c>
      <c r="B246" s="1" t="s">
        <v>315</v>
      </c>
      <c r="C246" s="1" t="s">
        <v>5</v>
      </c>
      <c r="D246" s="1" t="s">
        <v>47</v>
      </c>
    </row>
    <row r="247" spans="1:4">
      <c r="A247" s="1" t="s">
        <v>188</v>
      </c>
      <c r="B247" s="1" t="s">
        <v>315</v>
      </c>
      <c r="C247" s="1" t="s">
        <v>25</v>
      </c>
      <c r="D247" s="1" t="s">
        <v>29</v>
      </c>
    </row>
    <row r="248" spans="1:4">
      <c r="A248" s="1" t="s">
        <v>165</v>
      </c>
      <c r="B248" s="1" t="s">
        <v>315</v>
      </c>
      <c r="C248" s="1" t="s">
        <v>75</v>
      </c>
      <c r="D248" s="1" t="s">
        <v>21</v>
      </c>
    </row>
    <row r="249" spans="1:4">
      <c r="A249" s="1" t="s">
        <v>126</v>
      </c>
      <c r="B249" s="1" t="s">
        <v>315</v>
      </c>
      <c r="C249" s="1" t="s">
        <v>25</v>
      </c>
      <c r="D249" s="1" t="s">
        <v>29</v>
      </c>
    </row>
    <row r="250" spans="1:4">
      <c r="A250" s="1" t="s">
        <v>28</v>
      </c>
      <c r="B250" s="1" t="s">
        <v>315</v>
      </c>
      <c r="C250" s="1" t="s">
        <v>25</v>
      </c>
      <c r="D250" s="1" t="s">
        <v>29</v>
      </c>
    </row>
    <row r="251" spans="1:4">
      <c r="A251" s="1" t="s">
        <v>388</v>
      </c>
      <c r="B251" s="1" t="s">
        <v>315</v>
      </c>
      <c r="C251" s="1" t="s">
        <v>5</v>
      </c>
      <c r="D251" s="1" t="s">
        <v>47</v>
      </c>
    </row>
    <row r="252" spans="1:4">
      <c r="A252" s="1" t="s">
        <v>186</v>
      </c>
      <c r="B252" s="1" t="s">
        <v>315</v>
      </c>
      <c r="C252" s="1" t="s">
        <v>5</v>
      </c>
      <c r="D252" s="1" t="s">
        <v>187</v>
      </c>
    </row>
    <row r="253" spans="1:4">
      <c r="A253" s="1" t="s">
        <v>389</v>
      </c>
      <c r="B253" s="1" t="s">
        <v>315</v>
      </c>
      <c r="C253" s="1" t="s">
        <v>75</v>
      </c>
      <c r="D253" s="1" t="s">
        <v>97</v>
      </c>
    </row>
    <row r="254" spans="1:4">
      <c r="A254" s="1" t="s">
        <v>103</v>
      </c>
      <c r="B254" s="1" t="s">
        <v>315</v>
      </c>
      <c r="C254" s="1" t="s">
        <v>75</v>
      </c>
      <c r="D254" s="1" t="s">
        <v>23</v>
      </c>
    </row>
    <row r="255" spans="1:4">
      <c r="A255" s="1" t="s">
        <v>390</v>
      </c>
      <c r="B255" s="1" t="s">
        <v>315</v>
      </c>
      <c r="C255" s="1" t="s">
        <v>75</v>
      </c>
      <c r="D255" s="1" t="s">
        <v>97</v>
      </c>
    </row>
    <row r="256" spans="1:4">
      <c r="A256" s="1" t="s">
        <v>56</v>
      </c>
      <c r="B256" s="1" t="s">
        <v>315</v>
      </c>
      <c r="C256" s="1" t="s">
        <v>25</v>
      </c>
      <c r="D256" s="1" t="s">
        <v>34</v>
      </c>
    </row>
    <row r="257" spans="1:4">
      <c r="A257" s="1" t="s">
        <v>33</v>
      </c>
      <c r="B257" s="1" t="s">
        <v>315</v>
      </c>
      <c r="C257" s="1" t="s">
        <v>25</v>
      </c>
      <c r="D257" s="1" t="s">
        <v>34</v>
      </c>
    </row>
    <row r="258" spans="1:4">
      <c r="A258" s="1" t="s">
        <v>134</v>
      </c>
      <c r="B258" s="1" t="s">
        <v>315</v>
      </c>
      <c r="C258" s="1" t="s">
        <v>25</v>
      </c>
      <c r="D258" s="1" t="s">
        <v>34</v>
      </c>
    </row>
    <row r="259" spans="1:4">
      <c r="A259" s="1" t="s">
        <v>391</v>
      </c>
      <c r="B259" s="1" t="s">
        <v>315</v>
      </c>
      <c r="C259" s="1" t="s">
        <v>75</v>
      </c>
      <c r="D259" s="1" t="s">
        <v>97</v>
      </c>
    </row>
    <row r="260" spans="1:4">
      <c r="A260" s="1" t="s">
        <v>392</v>
      </c>
      <c r="B260" s="1" t="s">
        <v>315</v>
      </c>
      <c r="C260" s="1" t="s">
        <v>75</v>
      </c>
      <c r="D260" s="1" t="s">
        <v>23</v>
      </c>
    </row>
    <row r="261" spans="1:4">
      <c r="A261" s="1" t="s">
        <v>393</v>
      </c>
      <c r="B261" s="1" t="s">
        <v>315</v>
      </c>
      <c r="C261" s="1" t="s">
        <v>75</v>
      </c>
      <c r="D261" s="1" t="s">
        <v>23</v>
      </c>
    </row>
    <row r="262" spans="1:4">
      <c r="A262" s="1" t="s">
        <v>394</v>
      </c>
      <c r="B262" s="1" t="s">
        <v>315</v>
      </c>
      <c r="C262" s="1" t="s">
        <v>5</v>
      </c>
      <c r="D262" s="1" t="s">
        <v>15</v>
      </c>
    </row>
    <row r="263" spans="1:4">
      <c r="A263" s="1" t="s">
        <v>395</v>
      </c>
      <c r="B263" s="1" t="s">
        <v>315</v>
      </c>
      <c r="C263" s="1" t="s">
        <v>68</v>
      </c>
      <c r="D263" s="1" t="s">
        <v>21</v>
      </c>
    </row>
    <row r="264" spans="1:4">
      <c r="A264" s="1" t="s">
        <v>142</v>
      </c>
      <c r="B264" s="1" t="s">
        <v>315</v>
      </c>
      <c r="C264" s="1" t="s">
        <v>68</v>
      </c>
      <c r="D264" s="1" t="s">
        <v>21</v>
      </c>
    </row>
    <row r="265" spans="1:4">
      <c r="A265" s="1" t="s">
        <v>248</v>
      </c>
      <c r="B265" s="1" t="s">
        <v>315</v>
      </c>
      <c r="C265" s="1" t="s">
        <v>25</v>
      </c>
      <c r="D265" s="1" t="s">
        <v>34</v>
      </c>
    </row>
    <row r="266" spans="1:4">
      <c r="A266" s="1" t="s">
        <v>189</v>
      </c>
      <c r="B266" s="1" t="s">
        <v>315</v>
      </c>
      <c r="C266" s="1" t="s">
        <v>25</v>
      </c>
      <c r="D266" s="1" t="s">
        <v>34</v>
      </c>
    </row>
    <row r="267" spans="1:4">
      <c r="A267" s="1" t="s">
        <v>396</v>
      </c>
      <c r="B267" s="1" t="s">
        <v>315</v>
      </c>
      <c r="C267" s="1" t="s">
        <v>25</v>
      </c>
      <c r="D267" s="1" t="s">
        <v>29</v>
      </c>
    </row>
    <row r="268" spans="1:4">
      <c r="A268" s="1" t="s">
        <v>397</v>
      </c>
      <c r="B268" s="1" t="s">
        <v>315</v>
      </c>
      <c r="C268" s="1" t="s">
        <v>5</v>
      </c>
      <c r="D268" s="1" t="s">
        <v>32</v>
      </c>
    </row>
    <row r="269" spans="1:4">
      <c r="A269" s="1" t="s">
        <v>398</v>
      </c>
      <c r="B269" s="1" t="s">
        <v>315</v>
      </c>
      <c r="C269" s="1" t="s">
        <v>5</v>
      </c>
      <c r="D269" s="1" t="s">
        <v>58</v>
      </c>
    </row>
    <row r="270" spans="1:4">
      <c r="A270" s="1" t="s">
        <v>399</v>
      </c>
      <c r="B270" s="1" t="s">
        <v>315</v>
      </c>
      <c r="C270" s="1" t="s">
        <v>5</v>
      </c>
      <c r="D270" s="1" t="s">
        <v>47</v>
      </c>
    </row>
    <row r="271" spans="1:4">
      <c r="A271" s="1" t="s">
        <v>400</v>
      </c>
      <c r="B271" s="1" t="s">
        <v>315</v>
      </c>
      <c r="C271" s="1" t="s">
        <v>68</v>
      </c>
      <c r="D271" s="1" t="s">
        <v>58</v>
      </c>
    </row>
    <row r="272" spans="1:4">
      <c r="A272" s="1" t="s">
        <v>401</v>
      </c>
      <c r="B272" s="1" t="s">
        <v>315</v>
      </c>
      <c r="C272" s="1" t="s">
        <v>68</v>
      </c>
      <c r="D272" s="1" t="s">
        <v>88</v>
      </c>
    </row>
    <row r="273" spans="1:4">
      <c r="A273" s="1" t="s">
        <v>108</v>
      </c>
      <c r="B273" s="1" t="s">
        <v>315</v>
      </c>
      <c r="C273" s="1" t="s">
        <v>13</v>
      </c>
      <c r="D273" s="1" t="s">
        <v>15</v>
      </c>
    </row>
    <row r="274" spans="1:4">
      <c r="A274" s="1" t="s">
        <v>124</v>
      </c>
      <c r="B274" s="1" t="s">
        <v>315</v>
      </c>
      <c r="C274" s="1" t="s">
        <v>13</v>
      </c>
      <c r="D274" s="1" t="s">
        <v>15</v>
      </c>
    </row>
    <row r="275" spans="1:4">
      <c r="A275" s="1" t="s">
        <v>177</v>
      </c>
      <c r="B275" s="1" t="s">
        <v>315</v>
      </c>
      <c r="C275" s="1" t="s">
        <v>37</v>
      </c>
      <c r="D275" s="1" t="s">
        <v>21</v>
      </c>
    </row>
    <row r="276" spans="1:4">
      <c r="A276" s="1" t="s">
        <v>402</v>
      </c>
      <c r="B276" s="1" t="s">
        <v>315</v>
      </c>
      <c r="C276" s="1" t="s">
        <v>144</v>
      </c>
      <c r="D276" s="1" t="s">
        <v>27</v>
      </c>
    </row>
    <row r="277" spans="1:4">
      <c r="A277" s="1" t="s">
        <v>403</v>
      </c>
      <c r="B277" s="1" t="s">
        <v>315</v>
      </c>
      <c r="C277" s="1" t="s">
        <v>144</v>
      </c>
      <c r="D277" s="1" t="s">
        <v>27</v>
      </c>
    </row>
    <row r="278" spans="1:4">
      <c r="A278" s="1" t="s">
        <v>404</v>
      </c>
      <c r="B278" s="1" t="s">
        <v>315</v>
      </c>
      <c r="C278" s="1" t="s">
        <v>144</v>
      </c>
      <c r="D278" s="1" t="s">
        <v>27</v>
      </c>
    </row>
    <row r="279" spans="1:4">
      <c r="A279" s="1" t="s">
        <v>145</v>
      </c>
      <c r="B279" s="1" t="s">
        <v>315</v>
      </c>
      <c r="C279" s="1" t="s">
        <v>144</v>
      </c>
      <c r="D279" s="1" t="s">
        <v>27</v>
      </c>
    </row>
    <row r="280" spans="1:4">
      <c r="A280" s="1" t="s">
        <v>405</v>
      </c>
      <c r="B280" s="1" t="s">
        <v>315</v>
      </c>
      <c r="C280" s="1" t="s">
        <v>5</v>
      </c>
      <c r="D280" s="1" t="s">
        <v>97</v>
      </c>
    </row>
    <row r="281" spans="1:4">
      <c r="A281" s="1" t="s">
        <v>163</v>
      </c>
      <c r="B281" s="1" t="s">
        <v>315</v>
      </c>
      <c r="C281" s="1" t="s">
        <v>5</v>
      </c>
      <c r="D281" s="1" t="s">
        <v>58</v>
      </c>
    </row>
    <row r="282" spans="1:4">
      <c r="A282" s="1" t="s">
        <v>406</v>
      </c>
      <c r="B282" s="1" t="s">
        <v>315</v>
      </c>
      <c r="C282" s="1" t="s">
        <v>5</v>
      </c>
      <c r="D282" s="1" t="s">
        <v>187</v>
      </c>
    </row>
    <row r="283" spans="1:4">
      <c r="A283" s="1" t="s">
        <v>407</v>
      </c>
      <c r="B283" s="1" t="s">
        <v>315</v>
      </c>
      <c r="C283" s="1" t="s">
        <v>68</v>
      </c>
      <c r="D283" s="1" t="s">
        <v>21</v>
      </c>
    </row>
    <row r="284" spans="1:4">
      <c r="A284" s="1" t="s">
        <v>156</v>
      </c>
      <c r="B284" s="1" t="s">
        <v>315</v>
      </c>
      <c r="C284" s="1" t="s">
        <v>68</v>
      </c>
      <c r="D284" s="1" t="s">
        <v>21</v>
      </c>
    </row>
    <row r="285" spans="1:4">
      <c r="A285" s="1" t="s">
        <v>408</v>
      </c>
      <c r="B285" s="1" t="s">
        <v>315</v>
      </c>
      <c r="C285" s="1" t="s">
        <v>5</v>
      </c>
      <c r="D285" s="1" t="s">
        <v>21</v>
      </c>
    </row>
    <row r="286" spans="1:4">
      <c r="A286" s="1" t="s">
        <v>409</v>
      </c>
      <c r="B286" s="1" t="s">
        <v>315</v>
      </c>
      <c r="C286" s="1" t="s">
        <v>25</v>
      </c>
      <c r="D286" s="1" t="s">
        <v>128</v>
      </c>
    </row>
    <row r="287" spans="1:4">
      <c r="A287" s="1" t="s">
        <v>216</v>
      </c>
      <c r="B287" s="1" t="s">
        <v>315</v>
      </c>
      <c r="C287" s="1" t="s">
        <v>25</v>
      </c>
      <c r="D287" s="1" t="s">
        <v>128</v>
      </c>
    </row>
    <row r="288" spans="1:4">
      <c r="A288" s="1" t="s">
        <v>410</v>
      </c>
      <c r="B288" s="1" t="s">
        <v>315</v>
      </c>
      <c r="C288" s="1" t="s">
        <v>25</v>
      </c>
      <c r="D288" s="1" t="s">
        <v>128</v>
      </c>
    </row>
    <row r="289" spans="1:4">
      <c r="A289" s="1" t="s">
        <v>411</v>
      </c>
      <c r="B289" s="1" t="s">
        <v>315</v>
      </c>
      <c r="C289" s="1" t="s">
        <v>5</v>
      </c>
      <c r="D289" s="1" t="s">
        <v>21</v>
      </c>
    </row>
    <row r="290" spans="1:4">
      <c r="A290" s="1" t="s">
        <v>77</v>
      </c>
      <c r="B290" s="1" t="s">
        <v>315</v>
      </c>
      <c r="C290" s="1" t="s">
        <v>13</v>
      </c>
      <c r="D290" s="1" t="s">
        <v>15</v>
      </c>
    </row>
    <row r="291" spans="1:4">
      <c r="A291" s="1" t="s">
        <v>412</v>
      </c>
      <c r="B291" s="1" t="s">
        <v>315</v>
      </c>
      <c r="C291" s="1" t="s">
        <v>13</v>
      </c>
      <c r="D291" s="1" t="s">
        <v>15</v>
      </c>
    </row>
    <row r="292" spans="1:4">
      <c r="A292" s="1" t="s">
        <v>413</v>
      </c>
      <c r="B292" s="1" t="s">
        <v>315</v>
      </c>
      <c r="C292" s="1" t="s">
        <v>144</v>
      </c>
      <c r="D292" s="1" t="s">
        <v>414</v>
      </c>
    </row>
    <row r="293" spans="1:4">
      <c r="A293" s="1" t="s">
        <v>415</v>
      </c>
      <c r="B293" s="1" t="s">
        <v>315</v>
      </c>
      <c r="C293" s="1" t="s">
        <v>144</v>
      </c>
      <c r="D293" s="1" t="s">
        <v>414</v>
      </c>
    </row>
    <row r="294" spans="1:4">
      <c r="A294" s="1" t="s">
        <v>416</v>
      </c>
      <c r="B294" s="1" t="s">
        <v>315</v>
      </c>
      <c r="C294" s="1" t="s">
        <v>144</v>
      </c>
      <c r="D294" s="1" t="s">
        <v>417</v>
      </c>
    </row>
    <row r="295" spans="1:4">
      <c r="A295" s="1" t="s">
        <v>418</v>
      </c>
      <c r="B295" s="1" t="s">
        <v>315</v>
      </c>
      <c r="C295" s="1" t="s">
        <v>144</v>
      </c>
      <c r="D295" s="1" t="s">
        <v>414</v>
      </c>
    </row>
    <row r="296" spans="1:4">
      <c r="A296" s="1" t="s">
        <v>419</v>
      </c>
      <c r="B296" s="1" t="s">
        <v>315</v>
      </c>
      <c r="C296" s="1" t="s">
        <v>144</v>
      </c>
      <c r="D296" s="1" t="s">
        <v>414</v>
      </c>
    </row>
    <row r="297" spans="1:4">
      <c r="A297" s="1" t="s">
        <v>420</v>
      </c>
      <c r="B297" s="1" t="s">
        <v>315</v>
      </c>
      <c r="C297" s="1" t="s">
        <v>144</v>
      </c>
      <c r="D297" s="1" t="s">
        <v>260</v>
      </c>
    </row>
    <row r="298" spans="1:4">
      <c r="A298" s="1" t="s">
        <v>421</v>
      </c>
      <c r="B298" s="1" t="s">
        <v>315</v>
      </c>
      <c r="C298" s="1" t="s">
        <v>144</v>
      </c>
      <c r="D298" s="1" t="s">
        <v>260</v>
      </c>
    </row>
    <row r="299" spans="1:4">
      <c r="A299" s="1" t="s">
        <v>263</v>
      </c>
      <c r="B299" s="1" t="s">
        <v>315</v>
      </c>
      <c r="C299" s="1" t="s">
        <v>144</v>
      </c>
      <c r="D299" s="1" t="s">
        <v>260</v>
      </c>
    </row>
    <row r="300" spans="1:4">
      <c r="A300" s="1" t="s">
        <v>268</v>
      </c>
      <c r="B300" s="1" t="s">
        <v>315</v>
      </c>
      <c r="C300" s="1" t="s">
        <v>144</v>
      </c>
      <c r="D300" s="1" t="s">
        <v>260</v>
      </c>
    </row>
    <row r="301" spans="1:4">
      <c r="A301" s="1" t="s">
        <v>422</v>
      </c>
      <c r="B301" s="1" t="s">
        <v>315</v>
      </c>
      <c r="C301" s="1" t="s">
        <v>144</v>
      </c>
      <c r="D301" s="1" t="s">
        <v>260</v>
      </c>
    </row>
    <row r="302" spans="1:4">
      <c r="A302" s="1" t="s">
        <v>423</v>
      </c>
      <c r="B302" s="1" t="s">
        <v>315</v>
      </c>
      <c r="C302" s="1" t="s">
        <v>144</v>
      </c>
      <c r="D302" s="1" t="s">
        <v>417</v>
      </c>
    </row>
    <row r="303" spans="1:4">
      <c r="A303" s="1" t="s">
        <v>424</v>
      </c>
      <c r="B303" s="1" t="s">
        <v>315</v>
      </c>
      <c r="C303" s="1" t="s">
        <v>144</v>
      </c>
      <c r="D303" s="1" t="s">
        <v>260</v>
      </c>
    </row>
    <row r="304" spans="1:4">
      <c r="A304" s="1" t="s">
        <v>425</v>
      </c>
      <c r="B304" s="1" t="s">
        <v>315</v>
      </c>
      <c r="C304" s="1" t="s">
        <v>144</v>
      </c>
      <c r="D304" s="1" t="s">
        <v>260</v>
      </c>
    </row>
    <row r="305" spans="1:4">
      <c r="A305" s="1" t="s">
        <v>426</v>
      </c>
      <c r="B305" s="1" t="s">
        <v>315</v>
      </c>
      <c r="C305" s="1" t="s">
        <v>144</v>
      </c>
      <c r="D305" s="1" t="s">
        <v>260</v>
      </c>
    </row>
    <row r="306" spans="1:4">
      <c r="A306" s="1" t="s">
        <v>427</v>
      </c>
      <c r="B306" s="1" t="s">
        <v>315</v>
      </c>
      <c r="C306" s="1" t="s">
        <v>144</v>
      </c>
      <c r="D306" s="1" t="s">
        <v>260</v>
      </c>
    </row>
    <row r="307" spans="1:4">
      <c r="A307" s="1" t="s">
        <v>428</v>
      </c>
      <c r="B307" s="1" t="s">
        <v>315</v>
      </c>
      <c r="C307" s="1" t="s">
        <v>144</v>
      </c>
      <c r="D307" s="1" t="s">
        <v>260</v>
      </c>
    </row>
    <row r="308" spans="1:4">
      <c r="A308" s="1" t="s">
        <v>429</v>
      </c>
      <c r="B308" s="1" t="s">
        <v>315</v>
      </c>
      <c r="C308" s="1" t="s">
        <v>286</v>
      </c>
      <c r="D308" s="1" t="s">
        <v>260</v>
      </c>
    </row>
    <row r="309" spans="1:4">
      <c r="A309" s="1" t="s">
        <v>430</v>
      </c>
      <c r="B309" s="1" t="s">
        <v>315</v>
      </c>
      <c r="C309" s="1" t="s">
        <v>286</v>
      </c>
      <c r="D309" s="1" t="s">
        <v>260</v>
      </c>
    </row>
    <row r="310" spans="1:4">
      <c r="A310" s="1" t="s">
        <v>431</v>
      </c>
      <c r="B310" s="1" t="s">
        <v>315</v>
      </c>
      <c r="C310" s="1" t="s">
        <v>286</v>
      </c>
      <c r="D310" s="1" t="s">
        <v>260</v>
      </c>
    </row>
    <row r="311" spans="1:4">
      <c r="A311" s="1" t="s">
        <v>432</v>
      </c>
      <c r="B311" s="1" t="s">
        <v>315</v>
      </c>
      <c r="C311" s="1" t="s">
        <v>286</v>
      </c>
      <c r="D311" s="1" t="s">
        <v>260</v>
      </c>
    </row>
    <row r="312" spans="1:4">
      <c r="A312" s="1" t="s">
        <v>287</v>
      </c>
      <c r="B312" s="1" t="s">
        <v>315</v>
      </c>
      <c r="C312" s="1" t="s">
        <v>286</v>
      </c>
      <c r="D312" s="1" t="s">
        <v>260</v>
      </c>
    </row>
    <row r="313" spans="1:4">
      <c r="A313" s="1" t="s">
        <v>433</v>
      </c>
      <c r="B313" s="1" t="s">
        <v>315</v>
      </c>
      <c r="C313" s="1" t="s">
        <v>286</v>
      </c>
      <c r="D313" s="1" t="s">
        <v>260</v>
      </c>
    </row>
    <row r="314" spans="1:4">
      <c r="A314" s="1" t="s">
        <v>434</v>
      </c>
      <c r="B314" s="1" t="s">
        <v>315</v>
      </c>
      <c r="C314" s="1" t="s">
        <v>286</v>
      </c>
      <c r="D314" s="1" t="s">
        <v>260</v>
      </c>
    </row>
    <row r="315" spans="1:4">
      <c r="A315" s="1" t="s">
        <v>435</v>
      </c>
      <c r="B315" s="1" t="s">
        <v>315</v>
      </c>
      <c r="C315" s="1" t="s">
        <v>286</v>
      </c>
      <c r="D315" s="1" t="s">
        <v>260</v>
      </c>
    </row>
    <row r="316" spans="1:4">
      <c r="A316" s="1" t="s">
        <v>436</v>
      </c>
      <c r="B316" s="1" t="s">
        <v>315</v>
      </c>
      <c r="C316" s="1" t="s">
        <v>286</v>
      </c>
      <c r="D316" s="1" t="s">
        <v>260</v>
      </c>
    </row>
    <row r="317" spans="1:4">
      <c r="A317" s="1" t="s">
        <v>437</v>
      </c>
      <c r="B317" s="1" t="s">
        <v>315</v>
      </c>
      <c r="C317" s="1" t="s">
        <v>286</v>
      </c>
      <c r="D317" s="1" t="s">
        <v>260</v>
      </c>
    </row>
    <row r="318" spans="1:4">
      <c r="A318" s="1" t="s">
        <v>259</v>
      </c>
      <c r="B318" s="1" t="s">
        <v>315</v>
      </c>
      <c r="C318" s="1" t="s">
        <v>310</v>
      </c>
      <c r="D318" s="1" t="s">
        <v>260</v>
      </c>
    </row>
    <row r="319" spans="1:4">
      <c r="A319" s="1" t="s">
        <v>438</v>
      </c>
      <c r="B319" s="1" t="s">
        <v>315</v>
      </c>
      <c r="C319" s="1" t="s">
        <v>310</v>
      </c>
      <c r="D319" s="1" t="s">
        <v>439</v>
      </c>
    </row>
    <row r="320" spans="1:4">
      <c r="A320" s="1" t="s">
        <v>440</v>
      </c>
      <c r="B320" s="1" t="s">
        <v>315</v>
      </c>
      <c r="C320" s="1" t="s">
        <v>310</v>
      </c>
      <c r="D320" s="1" t="s">
        <v>439</v>
      </c>
    </row>
    <row r="321" spans="1:4">
      <c r="A321" s="1" t="s">
        <v>441</v>
      </c>
      <c r="B321" s="1" t="s">
        <v>315</v>
      </c>
      <c r="C321" s="1" t="s">
        <v>310</v>
      </c>
      <c r="D321" s="1" t="s">
        <v>439</v>
      </c>
    </row>
    <row r="322" spans="1:4">
      <c r="A322" s="1" t="s">
        <v>442</v>
      </c>
      <c r="B322" s="1" t="s">
        <v>315</v>
      </c>
      <c r="C322" s="1" t="s">
        <v>5</v>
      </c>
      <c r="D322" s="1" t="s">
        <v>21</v>
      </c>
    </row>
    <row r="323" spans="1:4">
      <c r="A323" s="1" t="s">
        <v>269</v>
      </c>
      <c r="B323" s="1" t="s">
        <v>315</v>
      </c>
      <c r="C323" s="1" t="s">
        <v>5</v>
      </c>
      <c r="D323" s="1" t="s">
        <v>21</v>
      </c>
    </row>
    <row r="324" spans="1:4">
      <c r="A324" s="1" t="s">
        <v>443</v>
      </c>
      <c r="B324" s="1" t="s">
        <v>315</v>
      </c>
      <c r="C324" s="1" t="s">
        <v>144</v>
      </c>
      <c r="D324" s="1" t="s">
        <v>417</v>
      </c>
    </row>
    <row r="325" spans="1:4">
      <c r="A325" s="1" t="s">
        <v>444</v>
      </c>
      <c r="B325" s="1" t="s">
        <v>315</v>
      </c>
      <c r="C325" s="1" t="s">
        <v>144</v>
      </c>
      <c r="D325" s="1" t="s">
        <v>417</v>
      </c>
    </row>
    <row r="326" spans="1:4">
      <c r="A326" s="1" t="s">
        <v>445</v>
      </c>
      <c r="B326" s="1" t="s">
        <v>315</v>
      </c>
      <c r="C326" s="1" t="s">
        <v>144</v>
      </c>
      <c r="D326" s="1" t="s">
        <v>417</v>
      </c>
    </row>
    <row r="327" spans="1:4">
      <c r="A327" s="1" t="s">
        <v>446</v>
      </c>
      <c r="B327" s="1" t="s">
        <v>315</v>
      </c>
      <c r="C327" s="1" t="s">
        <v>144</v>
      </c>
      <c r="D327" s="1" t="s">
        <v>417</v>
      </c>
    </row>
    <row r="328" spans="1:4">
      <c r="A328" s="1" t="s">
        <v>447</v>
      </c>
      <c r="B328" s="1" t="s">
        <v>315</v>
      </c>
      <c r="C328" s="1" t="s">
        <v>144</v>
      </c>
      <c r="D328" s="1" t="s">
        <v>417</v>
      </c>
    </row>
    <row r="329" spans="1:4">
      <c r="A329" s="1" t="s">
        <v>448</v>
      </c>
      <c r="B329" s="1" t="s">
        <v>315</v>
      </c>
      <c r="C329" s="1" t="s">
        <v>144</v>
      </c>
      <c r="D329" s="1" t="s">
        <v>417</v>
      </c>
    </row>
    <row r="330" spans="1:4">
      <c r="A330" s="1" t="s">
        <v>449</v>
      </c>
      <c r="B330" s="1" t="s">
        <v>315</v>
      </c>
      <c r="C330" s="1" t="s">
        <v>144</v>
      </c>
      <c r="D330" s="1" t="s">
        <v>417</v>
      </c>
    </row>
    <row r="331" spans="1:4">
      <c r="A331" s="1" t="s">
        <v>450</v>
      </c>
      <c r="B331" s="1" t="s">
        <v>315</v>
      </c>
      <c r="C331" s="1" t="s">
        <v>144</v>
      </c>
      <c r="D331" s="1" t="s">
        <v>417</v>
      </c>
    </row>
    <row r="332" spans="1:4">
      <c r="A332" s="1" t="s">
        <v>451</v>
      </c>
      <c r="B332" s="1" t="s">
        <v>315</v>
      </c>
      <c r="C332" s="1" t="s">
        <v>144</v>
      </c>
      <c r="D332" s="1" t="s">
        <v>417</v>
      </c>
    </row>
    <row r="333" spans="1:4">
      <c r="A333" s="1" t="s">
        <v>452</v>
      </c>
      <c r="B333" s="1" t="s">
        <v>315</v>
      </c>
      <c r="C333" s="1" t="s">
        <v>144</v>
      </c>
      <c r="D333" s="1" t="s">
        <v>417</v>
      </c>
    </row>
    <row r="334" spans="1:4">
      <c r="A334" s="1" t="s">
        <v>453</v>
      </c>
      <c r="B334" s="1" t="s">
        <v>315</v>
      </c>
      <c r="C334" s="1" t="s">
        <v>144</v>
      </c>
      <c r="D334" s="1" t="s">
        <v>454</v>
      </c>
    </row>
    <row r="335" spans="1:4">
      <c r="A335" s="1" t="s">
        <v>455</v>
      </c>
      <c r="B335" s="1" t="s">
        <v>315</v>
      </c>
      <c r="C335" s="1" t="s">
        <v>144</v>
      </c>
      <c r="D335" s="1" t="s">
        <v>417</v>
      </c>
    </row>
    <row r="336" spans="1:4">
      <c r="A336" s="1" t="s">
        <v>456</v>
      </c>
      <c r="B336" s="1" t="s">
        <v>315</v>
      </c>
      <c r="C336" s="1" t="s">
        <v>144</v>
      </c>
      <c r="D336" s="1" t="s">
        <v>417</v>
      </c>
    </row>
    <row r="337" spans="1:4">
      <c r="A337" s="1" t="s">
        <v>457</v>
      </c>
      <c r="B337" s="1" t="s">
        <v>315</v>
      </c>
      <c r="C337" s="1" t="s">
        <v>310</v>
      </c>
      <c r="D337" s="1" t="s">
        <v>417</v>
      </c>
    </row>
    <row r="338" spans="1:4">
      <c r="A338" s="1" t="s">
        <v>458</v>
      </c>
      <c r="B338" s="1" t="s">
        <v>315</v>
      </c>
      <c r="C338" s="1" t="s">
        <v>310</v>
      </c>
      <c r="D338" s="1" t="s">
        <v>459</v>
      </c>
    </row>
    <row r="339" spans="1:4">
      <c r="A339" s="1" t="s">
        <v>460</v>
      </c>
      <c r="B339" s="1" t="s">
        <v>315</v>
      </c>
      <c r="C339" s="1" t="s">
        <v>310</v>
      </c>
      <c r="D339" s="1" t="s">
        <v>417</v>
      </c>
    </row>
    <row r="340" spans="1:4">
      <c r="A340" s="1" t="s">
        <v>461</v>
      </c>
      <c r="B340" s="1" t="s">
        <v>315</v>
      </c>
      <c r="C340" s="1" t="s">
        <v>310</v>
      </c>
      <c r="D340" s="1" t="s">
        <v>417</v>
      </c>
    </row>
    <row r="341" spans="1:4">
      <c r="A341" s="1" t="s">
        <v>462</v>
      </c>
      <c r="B341" s="1" t="s">
        <v>315</v>
      </c>
      <c r="C341" s="1" t="s">
        <v>310</v>
      </c>
      <c r="D341" s="1" t="s">
        <v>417</v>
      </c>
    </row>
    <row r="342" spans="1:4">
      <c r="A342" s="1" t="s">
        <v>463</v>
      </c>
      <c r="B342" s="1" t="s">
        <v>315</v>
      </c>
      <c r="C342" s="1" t="s">
        <v>310</v>
      </c>
      <c r="D342" s="1" t="s">
        <v>417</v>
      </c>
    </row>
    <row r="343" spans="1:4">
      <c r="A343" s="1" t="s">
        <v>464</v>
      </c>
      <c r="B343" s="1" t="s">
        <v>315</v>
      </c>
      <c r="C343" s="1" t="s">
        <v>310</v>
      </c>
      <c r="D343" s="1" t="s">
        <v>417</v>
      </c>
    </row>
    <row r="344" spans="1:4">
      <c r="A344" s="1" t="s">
        <v>465</v>
      </c>
      <c r="B344" s="1" t="s">
        <v>315</v>
      </c>
      <c r="C344" s="1" t="s">
        <v>310</v>
      </c>
      <c r="D344" s="1" t="s">
        <v>459</v>
      </c>
    </row>
    <row r="345" spans="1:4">
      <c r="A345" s="1" t="s">
        <v>466</v>
      </c>
      <c r="B345" s="1" t="s">
        <v>315</v>
      </c>
      <c r="C345" s="1" t="s">
        <v>310</v>
      </c>
      <c r="D345" s="1" t="s">
        <v>459</v>
      </c>
    </row>
    <row r="346" spans="1:4">
      <c r="A346" s="1" t="s">
        <v>467</v>
      </c>
      <c r="B346" s="1" t="s">
        <v>315</v>
      </c>
      <c r="C346" s="1" t="s">
        <v>310</v>
      </c>
      <c r="D346" s="1" t="s">
        <v>459</v>
      </c>
    </row>
    <row r="347" spans="1:4">
      <c r="A347" s="1" t="s">
        <v>468</v>
      </c>
      <c r="B347" s="1" t="s">
        <v>315</v>
      </c>
      <c r="C347" s="1" t="s">
        <v>310</v>
      </c>
      <c r="D347" s="1" t="s">
        <v>459</v>
      </c>
    </row>
    <row r="348" spans="1:4">
      <c r="A348" s="1" t="s">
        <v>469</v>
      </c>
      <c r="B348" s="1" t="s">
        <v>315</v>
      </c>
      <c r="C348" s="1" t="s">
        <v>310</v>
      </c>
      <c r="D348" s="1" t="s">
        <v>459</v>
      </c>
    </row>
    <row r="349" spans="1:4">
      <c r="A349" s="1" t="s">
        <v>470</v>
      </c>
      <c r="B349" s="1" t="s">
        <v>315</v>
      </c>
      <c r="C349" s="1" t="s">
        <v>310</v>
      </c>
      <c r="D349" s="1" t="s">
        <v>459</v>
      </c>
    </row>
    <row r="350" spans="1:4">
      <c r="A350" s="1" t="s">
        <v>471</v>
      </c>
      <c r="B350" s="1" t="s">
        <v>315</v>
      </c>
      <c r="C350" s="1" t="s">
        <v>310</v>
      </c>
      <c r="D350" s="1" t="s">
        <v>459</v>
      </c>
    </row>
    <row r="351" spans="1:4">
      <c r="A351" s="1" t="s">
        <v>472</v>
      </c>
      <c r="B351" s="1" t="s">
        <v>315</v>
      </c>
      <c r="C351" s="1" t="s">
        <v>310</v>
      </c>
      <c r="D351" s="1" t="s">
        <v>459</v>
      </c>
    </row>
    <row r="352" spans="1:4">
      <c r="A352" s="1" t="s">
        <v>473</v>
      </c>
      <c r="B352" s="1" t="s">
        <v>315</v>
      </c>
      <c r="C352" s="1" t="s">
        <v>310</v>
      </c>
      <c r="D352" s="1" t="s">
        <v>459</v>
      </c>
    </row>
    <row r="353" spans="1:4">
      <c r="A353" s="1" t="s">
        <v>474</v>
      </c>
      <c r="B353" s="1" t="s">
        <v>315</v>
      </c>
      <c r="C353" s="1" t="s">
        <v>310</v>
      </c>
      <c r="D353" s="1" t="s">
        <v>417</v>
      </c>
    </row>
    <row r="354" spans="1:4">
      <c r="A354" s="1" t="s">
        <v>475</v>
      </c>
      <c r="B354" s="1" t="s">
        <v>315</v>
      </c>
      <c r="C354" s="1" t="s">
        <v>310</v>
      </c>
      <c r="D354" s="1" t="s">
        <v>417</v>
      </c>
    </row>
    <row r="355" spans="1:4">
      <c r="A355" s="1" t="s">
        <v>476</v>
      </c>
      <c r="B355" s="1" t="s">
        <v>315</v>
      </c>
      <c r="C355" s="1" t="s">
        <v>310</v>
      </c>
      <c r="D355" s="1" t="s">
        <v>417</v>
      </c>
    </row>
    <row r="356" spans="1:4">
      <c r="A356" s="1" t="s">
        <v>477</v>
      </c>
      <c r="B356" s="1" t="s">
        <v>315</v>
      </c>
      <c r="C356" s="1" t="s">
        <v>68</v>
      </c>
      <c r="D356" s="1" t="s">
        <v>21</v>
      </c>
    </row>
    <row r="357" spans="1:4">
      <c r="A357" s="1" t="s">
        <v>281</v>
      </c>
      <c r="B357" s="1" t="s">
        <v>315</v>
      </c>
      <c r="C357" s="1" t="s">
        <v>37</v>
      </c>
      <c r="D357" s="1" t="s">
        <v>21</v>
      </c>
    </row>
    <row r="358" spans="1:4">
      <c r="A358" s="1" t="s">
        <v>478</v>
      </c>
      <c r="B358" s="1" t="s">
        <v>315</v>
      </c>
      <c r="C358" s="1" t="s">
        <v>310</v>
      </c>
      <c r="D358" s="1" t="s">
        <v>439</v>
      </c>
    </row>
    <row r="359" spans="1:4">
      <c r="A359" s="1" t="s">
        <v>479</v>
      </c>
      <c r="B359" s="1" t="s">
        <v>315</v>
      </c>
      <c r="C359" s="1" t="s">
        <v>480</v>
      </c>
      <c r="D359" s="1" t="s">
        <v>459</v>
      </c>
    </row>
    <row r="360" spans="1:4">
      <c r="A360" s="1" t="s">
        <v>481</v>
      </c>
      <c r="B360" s="1" t="s">
        <v>315</v>
      </c>
      <c r="C360" s="1" t="s">
        <v>480</v>
      </c>
      <c r="D360" s="1" t="s">
        <v>459</v>
      </c>
    </row>
    <row r="361" spans="1:4">
      <c r="A361" s="1" t="s">
        <v>482</v>
      </c>
      <c r="B361" s="1" t="s">
        <v>315</v>
      </c>
      <c r="C361" s="1" t="s">
        <v>480</v>
      </c>
      <c r="D361" s="1" t="s">
        <v>459</v>
      </c>
    </row>
    <row r="362" spans="1:4">
      <c r="A362" s="1" t="s">
        <v>483</v>
      </c>
      <c r="B362" s="1" t="s">
        <v>315</v>
      </c>
      <c r="C362" s="1" t="s">
        <v>480</v>
      </c>
      <c r="D362" s="1" t="s">
        <v>459</v>
      </c>
    </row>
    <row r="363" spans="1:4">
      <c r="A363" s="1" t="s">
        <v>484</v>
      </c>
      <c r="B363" s="1" t="s">
        <v>315</v>
      </c>
      <c r="C363" s="1" t="s">
        <v>480</v>
      </c>
      <c r="D363" s="1" t="s">
        <v>459</v>
      </c>
    </row>
    <row r="364" spans="1:4">
      <c r="A364" s="1" t="s">
        <v>485</v>
      </c>
      <c r="B364" s="1" t="s">
        <v>315</v>
      </c>
      <c r="C364" s="1" t="s">
        <v>480</v>
      </c>
      <c r="D364" s="1" t="s">
        <v>459</v>
      </c>
    </row>
    <row r="365" spans="1:4">
      <c r="A365" s="1" t="s">
        <v>486</v>
      </c>
      <c r="B365" s="1" t="s">
        <v>315</v>
      </c>
      <c r="C365" s="1" t="s">
        <v>480</v>
      </c>
      <c r="D365" s="1" t="s">
        <v>459</v>
      </c>
    </row>
    <row r="366" spans="1:4">
      <c r="A366" s="1" t="s">
        <v>487</v>
      </c>
      <c r="B366" s="1" t="s">
        <v>315</v>
      </c>
      <c r="C366" s="1" t="s">
        <v>480</v>
      </c>
      <c r="D366" s="1" t="s">
        <v>459</v>
      </c>
    </row>
    <row r="367" spans="1:4">
      <c r="A367" s="1" t="s">
        <v>488</v>
      </c>
      <c r="B367" s="1" t="s">
        <v>315</v>
      </c>
      <c r="C367" s="1" t="s">
        <v>480</v>
      </c>
      <c r="D367" s="1" t="s">
        <v>417</v>
      </c>
    </row>
    <row r="368" spans="1:4">
      <c r="A368" s="1" t="s">
        <v>489</v>
      </c>
      <c r="B368" s="1" t="s">
        <v>315</v>
      </c>
      <c r="C368" s="1" t="s">
        <v>480</v>
      </c>
      <c r="D368" s="1" t="s">
        <v>417</v>
      </c>
    </row>
    <row r="369" spans="1:4">
      <c r="A369" s="1" t="s">
        <v>490</v>
      </c>
      <c r="B369" s="1" t="s">
        <v>315</v>
      </c>
      <c r="C369" s="1" t="s">
        <v>480</v>
      </c>
      <c r="D369" s="1" t="s">
        <v>417</v>
      </c>
    </row>
    <row r="370" spans="1:4">
      <c r="A370" s="1" t="s">
        <v>491</v>
      </c>
      <c r="B370" s="1" t="s">
        <v>315</v>
      </c>
      <c r="C370" s="1" t="s">
        <v>480</v>
      </c>
      <c r="D370" s="1" t="s">
        <v>417</v>
      </c>
    </row>
    <row r="371" spans="1:4">
      <c r="A371" s="1" t="s">
        <v>492</v>
      </c>
      <c r="B371" s="1" t="s">
        <v>315</v>
      </c>
      <c r="C371" s="1" t="s">
        <v>480</v>
      </c>
      <c r="D371" s="1" t="s">
        <v>417</v>
      </c>
    </row>
    <row r="372" spans="1:4">
      <c r="A372" s="1" t="s">
        <v>493</v>
      </c>
      <c r="B372" s="1" t="s">
        <v>315</v>
      </c>
      <c r="C372" s="1" t="s">
        <v>480</v>
      </c>
      <c r="D372" s="1" t="s">
        <v>417</v>
      </c>
    </row>
    <row r="373" spans="1:4">
      <c r="A373" s="1" t="s">
        <v>494</v>
      </c>
      <c r="B373" s="1" t="s">
        <v>315</v>
      </c>
      <c r="C373" s="1" t="s">
        <v>480</v>
      </c>
      <c r="D373" s="1" t="s">
        <v>417</v>
      </c>
    </row>
    <row r="374" spans="1:4">
      <c r="A374" s="1" t="s">
        <v>495</v>
      </c>
      <c r="B374" s="1" t="s">
        <v>315</v>
      </c>
      <c r="C374" s="1" t="s">
        <v>480</v>
      </c>
      <c r="D374" s="1" t="s">
        <v>417</v>
      </c>
    </row>
    <row r="375" spans="1:4">
      <c r="A375" s="1" t="s">
        <v>496</v>
      </c>
      <c r="B375" s="1" t="s">
        <v>315</v>
      </c>
      <c r="C375" s="1" t="s">
        <v>480</v>
      </c>
      <c r="D375" s="1" t="s">
        <v>417</v>
      </c>
    </row>
    <row r="376" spans="1:4">
      <c r="A376" s="1" t="s">
        <v>497</v>
      </c>
      <c r="B376" s="1" t="s">
        <v>315</v>
      </c>
      <c r="C376" s="1" t="s">
        <v>480</v>
      </c>
      <c r="D376" s="1" t="s">
        <v>417</v>
      </c>
    </row>
    <row r="377" spans="1:4">
      <c r="A377" s="1" t="s">
        <v>498</v>
      </c>
      <c r="B377" s="1" t="s">
        <v>315</v>
      </c>
      <c r="C377" s="1" t="s">
        <v>480</v>
      </c>
      <c r="D377" s="1" t="s">
        <v>417</v>
      </c>
    </row>
    <row r="378" spans="1:4">
      <c r="A378" s="1" t="s">
        <v>499</v>
      </c>
      <c r="B378" s="1" t="s">
        <v>315</v>
      </c>
      <c r="C378" s="1" t="s">
        <v>480</v>
      </c>
      <c r="D378" s="1" t="s">
        <v>417</v>
      </c>
    </row>
    <row r="379" spans="1:4">
      <c r="A379" s="1" t="s">
        <v>138</v>
      </c>
      <c r="B379" s="1" t="s">
        <v>315</v>
      </c>
      <c r="C379" s="1" t="s">
        <v>5</v>
      </c>
      <c r="D379" s="1" t="s">
        <v>15</v>
      </c>
    </row>
    <row r="380" spans="1:4">
      <c r="A380" s="1" t="s">
        <v>500</v>
      </c>
      <c r="B380" s="1" t="s">
        <v>315</v>
      </c>
      <c r="C380" s="1" t="s">
        <v>170</v>
      </c>
      <c r="D380" s="1" t="s">
        <v>27</v>
      </c>
    </row>
    <row r="381" spans="1:4">
      <c r="A381" s="1" t="s">
        <v>501</v>
      </c>
      <c r="B381" s="1" t="s">
        <v>315</v>
      </c>
      <c r="C381" s="1" t="s">
        <v>170</v>
      </c>
      <c r="D381" s="1" t="s">
        <v>27</v>
      </c>
    </row>
    <row r="382" spans="1:4">
      <c r="A382" s="1" t="s">
        <v>502</v>
      </c>
      <c r="B382" s="1" t="s">
        <v>315</v>
      </c>
      <c r="C382" s="1" t="s">
        <v>170</v>
      </c>
      <c r="D382" s="1" t="s">
        <v>27</v>
      </c>
    </row>
    <row r="383" spans="1:4">
      <c r="A383" s="1" t="s">
        <v>503</v>
      </c>
      <c r="B383" s="1" t="s">
        <v>315</v>
      </c>
      <c r="C383" s="1" t="s">
        <v>5</v>
      </c>
      <c r="D383" s="1" t="s">
        <v>187</v>
      </c>
    </row>
    <row r="384" spans="1:4">
      <c r="A384" s="1" t="s">
        <v>504</v>
      </c>
      <c r="B384" s="1" t="s">
        <v>315</v>
      </c>
      <c r="C384" s="1" t="s">
        <v>68</v>
      </c>
      <c r="D384" s="1" t="s">
        <v>21</v>
      </c>
    </row>
    <row r="385" spans="1:4">
      <c r="A385" s="1" t="s">
        <v>505</v>
      </c>
      <c r="B385" s="1" t="s">
        <v>315</v>
      </c>
      <c r="C385" s="1" t="s">
        <v>37</v>
      </c>
      <c r="D385" s="1" t="s">
        <v>97</v>
      </c>
    </row>
    <row r="386" spans="1:4">
      <c r="A386" s="1" t="s">
        <v>52</v>
      </c>
      <c r="B386" s="1" t="s">
        <v>315</v>
      </c>
      <c r="C386" s="1" t="s">
        <v>5</v>
      </c>
      <c r="D386" s="1" t="s">
        <v>15</v>
      </c>
    </row>
    <row r="387" spans="1:4">
      <c r="A387" s="1" t="s">
        <v>506</v>
      </c>
      <c r="B387" s="1" t="s">
        <v>315</v>
      </c>
      <c r="C387" s="1" t="s">
        <v>37</v>
      </c>
      <c r="D387" s="1" t="s">
        <v>21</v>
      </c>
    </row>
    <row r="388" spans="1:4">
      <c r="A388" s="1" t="s">
        <v>38</v>
      </c>
      <c r="B388" s="1" t="s">
        <v>315</v>
      </c>
      <c r="C388" s="1" t="s">
        <v>37</v>
      </c>
      <c r="D388" s="1" t="s">
        <v>21</v>
      </c>
    </row>
    <row r="389" spans="1:4">
      <c r="A389" s="1" t="s">
        <v>236</v>
      </c>
      <c r="B389" s="1" t="s">
        <v>315</v>
      </c>
      <c r="C389" s="1" t="s">
        <v>13</v>
      </c>
      <c r="D389" s="1" t="s">
        <v>15</v>
      </c>
    </row>
    <row r="390" spans="1:4">
      <c r="A390" s="1" t="s">
        <v>148</v>
      </c>
      <c r="B390" s="1" t="s">
        <v>315</v>
      </c>
      <c r="C390" s="1" t="s">
        <v>13</v>
      </c>
      <c r="D390" s="1" t="s">
        <v>15</v>
      </c>
    </row>
    <row r="391" spans="1:4">
      <c r="A391" s="1" t="s">
        <v>48</v>
      </c>
      <c r="B391" s="1" t="s">
        <v>315</v>
      </c>
      <c r="C391" s="1" t="s">
        <v>37</v>
      </c>
      <c r="D391" s="1" t="s">
        <v>21</v>
      </c>
    </row>
    <row r="392" spans="1:4">
      <c r="A392" s="1" t="s">
        <v>14</v>
      </c>
      <c r="B392" s="1" t="s">
        <v>315</v>
      </c>
      <c r="C392" s="1" t="s">
        <v>13</v>
      </c>
      <c r="D392" s="1" t="s">
        <v>15</v>
      </c>
    </row>
    <row r="393" spans="1:4">
      <c r="A393" s="1" t="s">
        <v>507</v>
      </c>
      <c r="B393" s="1" t="s">
        <v>315</v>
      </c>
      <c r="C393" s="1" t="s">
        <v>68</v>
      </c>
      <c r="D393" s="1" t="s">
        <v>21</v>
      </c>
    </row>
    <row r="394" spans="1:4">
      <c r="A394" s="1" t="s">
        <v>508</v>
      </c>
      <c r="B394" s="1" t="s">
        <v>315</v>
      </c>
      <c r="C394" s="1" t="s">
        <v>68</v>
      </c>
      <c r="D394" s="1" t="s">
        <v>21</v>
      </c>
    </row>
    <row r="395" spans="1:4">
      <c r="A395" s="1" t="s">
        <v>67</v>
      </c>
      <c r="B395" s="1" t="s">
        <v>315</v>
      </c>
      <c r="C395" s="1" t="s">
        <v>13</v>
      </c>
      <c r="D395" s="1" t="s">
        <v>15</v>
      </c>
    </row>
    <row r="396" spans="1:4">
      <c r="A396" s="1" t="s">
        <v>509</v>
      </c>
      <c r="B396" s="1" t="s">
        <v>315</v>
      </c>
      <c r="C396" s="1" t="s">
        <v>5</v>
      </c>
      <c r="D396" s="1" t="s">
        <v>47</v>
      </c>
    </row>
    <row r="397" spans="1:4">
      <c r="A397" s="1" t="s">
        <v>510</v>
      </c>
      <c r="B397" s="1" t="s">
        <v>315</v>
      </c>
      <c r="C397" s="1" t="s">
        <v>68</v>
      </c>
      <c r="D397" s="1" t="s">
        <v>21</v>
      </c>
    </row>
    <row r="398" spans="1:4">
      <c r="A398" s="1" t="s">
        <v>511</v>
      </c>
      <c r="B398" s="1" t="s">
        <v>315</v>
      </c>
      <c r="C398" s="1" t="s">
        <v>170</v>
      </c>
      <c r="D398" s="1" t="s">
        <v>27</v>
      </c>
    </row>
    <row r="399" spans="1:4">
      <c r="A399" s="1" t="s">
        <v>246</v>
      </c>
      <c r="B399" s="1" t="s">
        <v>315</v>
      </c>
      <c r="C399" s="1" t="s">
        <v>5</v>
      </c>
      <c r="D399" s="1" t="s">
        <v>21</v>
      </c>
    </row>
    <row r="400" spans="1:4">
      <c r="A400" s="1" t="s">
        <v>196</v>
      </c>
      <c r="B400" s="1" t="s">
        <v>315</v>
      </c>
      <c r="C400" s="1" t="s">
        <v>310</v>
      </c>
      <c r="D400" s="1" t="s">
        <v>88</v>
      </c>
    </row>
    <row r="401" spans="1:4">
      <c r="A401" s="1" t="s">
        <v>512</v>
      </c>
      <c r="B401" s="1" t="s">
        <v>315</v>
      </c>
      <c r="C401" s="1" t="s">
        <v>25</v>
      </c>
      <c r="D401" s="1" t="s">
        <v>32</v>
      </c>
    </row>
    <row r="402" spans="1:4">
      <c r="A402" s="1" t="s">
        <v>513</v>
      </c>
      <c r="B402" s="1" t="s">
        <v>315</v>
      </c>
      <c r="C402" s="1" t="s">
        <v>25</v>
      </c>
      <c r="D402" s="1" t="s">
        <v>32</v>
      </c>
    </row>
    <row r="403" spans="1:4">
      <c r="A403" s="1" t="s">
        <v>514</v>
      </c>
      <c r="B403" s="1" t="s">
        <v>315</v>
      </c>
      <c r="C403" s="1" t="s">
        <v>170</v>
      </c>
      <c r="D403" s="1" t="s">
        <v>27</v>
      </c>
    </row>
    <row r="404" spans="1:4">
      <c r="A404" s="1" t="s">
        <v>266</v>
      </c>
      <c r="B404" s="1" t="s">
        <v>315</v>
      </c>
      <c r="C404" s="1" t="s">
        <v>25</v>
      </c>
      <c r="D404" s="1" t="s">
        <v>32</v>
      </c>
    </row>
    <row r="405" spans="1:4">
      <c r="A405" s="1" t="s">
        <v>515</v>
      </c>
      <c r="B405" s="1" t="s">
        <v>315</v>
      </c>
      <c r="C405" s="1" t="s">
        <v>25</v>
      </c>
      <c r="D405" s="1" t="s">
        <v>27</v>
      </c>
    </row>
    <row r="406" spans="1:4">
      <c r="A406" s="1" t="s">
        <v>516</v>
      </c>
      <c r="B406" s="1" t="s">
        <v>315</v>
      </c>
      <c r="C406" s="1" t="s">
        <v>25</v>
      </c>
      <c r="D406" s="1" t="s">
        <v>27</v>
      </c>
    </row>
    <row r="407" spans="1:4">
      <c r="A407" s="1" t="s">
        <v>517</v>
      </c>
      <c r="B407" s="1" t="s">
        <v>315</v>
      </c>
      <c r="C407" s="1" t="s">
        <v>25</v>
      </c>
      <c r="D407" s="1" t="s">
        <v>32</v>
      </c>
    </row>
    <row r="408" spans="1:4">
      <c r="A408" s="1" t="s">
        <v>518</v>
      </c>
      <c r="B408" s="1" t="s">
        <v>315</v>
      </c>
      <c r="C408" s="1" t="s">
        <v>310</v>
      </c>
      <c r="D408" s="1" t="s">
        <v>459</v>
      </c>
    </row>
    <row r="409" spans="1:4">
      <c r="A409" s="1" t="s">
        <v>519</v>
      </c>
      <c r="B409" s="1" t="s">
        <v>315</v>
      </c>
      <c r="C409" s="1" t="s">
        <v>25</v>
      </c>
      <c r="D409" s="1" t="s">
        <v>32</v>
      </c>
    </row>
    <row r="410" spans="1:4">
      <c r="A410" s="1" t="s">
        <v>520</v>
      </c>
      <c r="B410" s="1" t="s">
        <v>315</v>
      </c>
      <c r="C410" s="1" t="s">
        <v>25</v>
      </c>
      <c r="D410" s="1" t="s">
        <v>32</v>
      </c>
    </row>
    <row r="411" spans="1:4">
      <c r="A411" s="1" t="s">
        <v>521</v>
      </c>
      <c r="B411" s="1" t="s">
        <v>315</v>
      </c>
      <c r="C411" s="1" t="s">
        <v>170</v>
      </c>
      <c r="D411" s="1" t="s">
        <v>27</v>
      </c>
    </row>
    <row r="412" spans="1:4">
      <c r="A412" s="1" t="s">
        <v>522</v>
      </c>
      <c r="B412" s="1" t="s">
        <v>315</v>
      </c>
      <c r="C412" s="1" t="s">
        <v>25</v>
      </c>
      <c r="D412" s="1" t="s">
        <v>260</v>
      </c>
    </row>
    <row r="413" spans="1:4">
      <c r="A413" s="1" t="s">
        <v>523</v>
      </c>
      <c r="B413" s="1" t="s">
        <v>315</v>
      </c>
      <c r="C413" s="1" t="s">
        <v>25</v>
      </c>
      <c r="D413" s="1" t="s">
        <v>260</v>
      </c>
    </row>
    <row r="414" spans="1:4">
      <c r="A414" s="1" t="s">
        <v>524</v>
      </c>
      <c r="B414" s="1" t="s">
        <v>315</v>
      </c>
      <c r="C414" s="1" t="s">
        <v>25</v>
      </c>
      <c r="D414" s="1" t="s">
        <v>260</v>
      </c>
    </row>
    <row r="415" spans="1:4">
      <c r="A415" s="1" t="s">
        <v>525</v>
      </c>
      <c r="B415" s="1" t="s">
        <v>315</v>
      </c>
      <c r="C415" s="1" t="s">
        <v>310</v>
      </c>
      <c r="D415" s="1" t="s">
        <v>439</v>
      </c>
    </row>
    <row r="416" spans="1:4">
      <c r="A416" s="1" t="s">
        <v>526</v>
      </c>
      <c r="B416" s="1" t="s">
        <v>315</v>
      </c>
      <c r="C416" s="1" t="s">
        <v>310</v>
      </c>
      <c r="D416" s="1" t="s">
        <v>439</v>
      </c>
    </row>
    <row r="417" spans="1:4">
      <c r="A417" s="1" t="s">
        <v>527</v>
      </c>
      <c r="B417" s="1" t="s">
        <v>315</v>
      </c>
      <c r="C417" s="1" t="s">
        <v>310</v>
      </c>
      <c r="D417" s="1" t="s">
        <v>439</v>
      </c>
    </row>
    <row r="418" spans="1:4">
      <c r="A418" s="1" t="s">
        <v>528</v>
      </c>
      <c r="B418" s="1" t="s">
        <v>315</v>
      </c>
      <c r="C418" s="1" t="s">
        <v>310</v>
      </c>
      <c r="D418" s="1" t="s">
        <v>260</v>
      </c>
    </row>
    <row r="419" spans="1:4">
      <c r="A419" s="1" t="s">
        <v>529</v>
      </c>
      <c r="B419" s="1" t="s">
        <v>315</v>
      </c>
      <c r="C419" s="1" t="s">
        <v>310</v>
      </c>
      <c r="D419" s="1" t="s">
        <v>260</v>
      </c>
    </row>
    <row r="420" spans="1:4">
      <c r="A420" s="1" t="s">
        <v>530</v>
      </c>
      <c r="B420" s="1" t="s">
        <v>315</v>
      </c>
      <c r="C420" s="1" t="s">
        <v>25</v>
      </c>
      <c r="D420" s="1" t="s">
        <v>260</v>
      </c>
    </row>
    <row r="421" spans="1:4">
      <c r="A421" s="1" t="s">
        <v>531</v>
      </c>
      <c r="B421" s="1" t="s">
        <v>315</v>
      </c>
      <c r="C421" s="1" t="s">
        <v>310</v>
      </c>
      <c r="D421" s="1" t="s">
        <v>260</v>
      </c>
    </row>
    <row r="422" spans="1:4">
      <c r="A422" s="1" t="s">
        <v>532</v>
      </c>
      <c r="B422" s="1" t="s">
        <v>315</v>
      </c>
      <c r="C422" s="1" t="s">
        <v>25</v>
      </c>
      <c r="D422" s="1" t="s">
        <v>260</v>
      </c>
    </row>
    <row r="423" spans="1:4">
      <c r="A423" s="1" t="s">
        <v>533</v>
      </c>
      <c r="B423" s="1" t="s">
        <v>315</v>
      </c>
      <c r="C423" s="1" t="s">
        <v>310</v>
      </c>
      <c r="D423" s="1" t="s">
        <v>260</v>
      </c>
    </row>
    <row r="424" spans="1:4">
      <c r="A424" s="1" t="s">
        <v>534</v>
      </c>
      <c r="B424" s="1" t="s">
        <v>315</v>
      </c>
      <c r="C424" s="1" t="s">
        <v>310</v>
      </c>
      <c r="D424" s="1" t="s">
        <v>260</v>
      </c>
    </row>
    <row r="425" spans="1:4">
      <c r="A425" s="1" t="s">
        <v>262</v>
      </c>
      <c r="B425" s="1" t="s">
        <v>315</v>
      </c>
      <c r="C425" s="1" t="s">
        <v>25</v>
      </c>
      <c r="D425" s="1" t="s">
        <v>260</v>
      </c>
    </row>
    <row r="426" spans="1:4">
      <c r="A426" s="1" t="s">
        <v>535</v>
      </c>
      <c r="B426" s="1" t="s">
        <v>315</v>
      </c>
      <c r="C426" s="1" t="s">
        <v>25</v>
      </c>
      <c r="D426" s="1" t="s">
        <v>260</v>
      </c>
    </row>
    <row r="427" spans="1:4">
      <c r="A427" s="1" t="s">
        <v>277</v>
      </c>
      <c r="B427" s="1" t="s">
        <v>315</v>
      </c>
      <c r="C427" s="1" t="s">
        <v>25</v>
      </c>
      <c r="D427" s="1" t="s">
        <v>260</v>
      </c>
    </row>
    <row r="428" spans="1:4">
      <c r="A428" s="1" t="s">
        <v>536</v>
      </c>
      <c r="B428" s="1" t="s">
        <v>315</v>
      </c>
      <c r="C428" s="1" t="s">
        <v>310</v>
      </c>
      <c r="D428" s="1" t="s">
        <v>260</v>
      </c>
    </row>
    <row r="429" spans="1:4">
      <c r="A429" s="1" t="s">
        <v>537</v>
      </c>
      <c r="B429" s="1" t="s">
        <v>315</v>
      </c>
      <c r="C429" s="1" t="s">
        <v>310</v>
      </c>
      <c r="D429" s="1" t="s">
        <v>260</v>
      </c>
    </row>
    <row r="430" spans="1:4">
      <c r="A430" s="1" t="s">
        <v>538</v>
      </c>
      <c r="B430" s="1" t="s">
        <v>315</v>
      </c>
      <c r="C430" s="1" t="s">
        <v>25</v>
      </c>
      <c r="D430" s="1" t="s">
        <v>417</v>
      </c>
    </row>
    <row r="431" spans="1:4">
      <c r="A431" s="1" t="s">
        <v>539</v>
      </c>
      <c r="B431" s="1" t="s">
        <v>315</v>
      </c>
      <c r="C431" s="1" t="s">
        <v>25</v>
      </c>
      <c r="D431" s="1" t="s">
        <v>417</v>
      </c>
    </row>
    <row r="432" spans="1:4">
      <c r="A432" s="1" t="s">
        <v>540</v>
      </c>
      <c r="B432" s="1" t="s">
        <v>315</v>
      </c>
      <c r="C432" s="1" t="s">
        <v>25</v>
      </c>
      <c r="D432" s="1" t="s">
        <v>27</v>
      </c>
    </row>
    <row r="433" spans="1:4">
      <c r="A433" s="1" t="s">
        <v>541</v>
      </c>
      <c r="B433" s="1" t="s">
        <v>315</v>
      </c>
      <c r="C433" s="1" t="s">
        <v>25</v>
      </c>
      <c r="D433" s="1" t="s">
        <v>417</v>
      </c>
    </row>
    <row r="434" spans="1:4">
      <c r="A434" s="1" t="s">
        <v>542</v>
      </c>
      <c r="B434" s="1" t="s">
        <v>315</v>
      </c>
      <c r="C434" s="1" t="s">
        <v>25</v>
      </c>
      <c r="D434" s="1" t="s">
        <v>417</v>
      </c>
    </row>
    <row r="435" spans="1:4">
      <c r="A435" s="1" t="s">
        <v>228</v>
      </c>
      <c r="B435" s="1" t="s">
        <v>315</v>
      </c>
      <c r="C435" s="1" t="s">
        <v>170</v>
      </c>
      <c r="D435" s="1" t="s">
        <v>27</v>
      </c>
    </row>
    <row r="436" spans="1:4">
      <c r="A436" s="1" t="s">
        <v>171</v>
      </c>
      <c r="B436" s="1" t="s">
        <v>315</v>
      </c>
      <c r="C436" s="1" t="s">
        <v>170</v>
      </c>
      <c r="D436" s="1" t="s">
        <v>27</v>
      </c>
    </row>
    <row r="437" spans="1:4">
      <c r="A437" s="1" t="s">
        <v>543</v>
      </c>
      <c r="B437" s="1" t="s">
        <v>315</v>
      </c>
      <c r="C437" s="1" t="s">
        <v>170</v>
      </c>
      <c r="D437" s="1" t="s">
        <v>27</v>
      </c>
    </row>
    <row r="438" spans="1:4">
      <c r="A438" s="1" t="s">
        <v>544</v>
      </c>
      <c r="B438" s="1" t="s">
        <v>315</v>
      </c>
      <c r="C438" s="1" t="s">
        <v>170</v>
      </c>
      <c r="D438" s="1" t="s">
        <v>27</v>
      </c>
    </row>
    <row r="439" spans="1:4">
      <c r="A439" s="1" t="s">
        <v>545</v>
      </c>
      <c r="B439" s="1" t="s">
        <v>315</v>
      </c>
      <c r="C439" s="1" t="s">
        <v>170</v>
      </c>
      <c r="D439" s="1" t="s">
        <v>27</v>
      </c>
    </row>
    <row r="440" spans="1:4">
      <c r="A440" s="1" t="s">
        <v>546</v>
      </c>
      <c r="B440" s="1" t="s">
        <v>315</v>
      </c>
      <c r="C440" s="1" t="s">
        <v>170</v>
      </c>
      <c r="D440" s="1" t="s">
        <v>27</v>
      </c>
    </row>
    <row r="441" spans="1:4">
      <c r="A441" s="1" t="s">
        <v>547</v>
      </c>
      <c r="B441" s="1" t="s">
        <v>315</v>
      </c>
      <c r="C441" s="1" t="s">
        <v>37</v>
      </c>
      <c r="D441" s="1" t="s">
        <v>21</v>
      </c>
    </row>
    <row r="442" spans="1:4">
      <c r="A442" s="1" t="s">
        <v>251</v>
      </c>
      <c r="B442" s="1" t="s">
        <v>315</v>
      </c>
      <c r="C442" s="1" t="s">
        <v>5</v>
      </c>
      <c r="D442" s="1" t="s">
        <v>15</v>
      </c>
    </row>
    <row r="443" spans="1:4">
      <c r="A443" s="1" t="s">
        <v>548</v>
      </c>
      <c r="B443" s="1" t="s">
        <v>315</v>
      </c>
      <c r="C443" s="1" t="s">
        <v>37</v>
      </c>
      <c r="D443" s="1" t="s">
        <v>23</v>
      </c>
    </row>
    <row r="444" spans="1:4">
      <c r="A444" s="1" t="s">
        <v>549</v>
      </c>
      <c r="B444" s="1" t="s">
        <v>315</v>
      </c>
      <c r="C444" s="1" t="s">
        <v>37</v>
      </c>
      <c r="D444" s="1" t="s">
        <v>23</v>
      </c>
    </row>
    <row r="445" spans="1:4">
      <c r="A445" s="1" t="s">
        <v>550</v>
      </c>
      <c r="B445" s="1" t="s">
        <v>315</v>
      </c>
      <c r="C445" s="1" t="s">
        <v>37</v>
      </c>
      <c r="D445" s="1" t="s">
        <v>29</v>
      </c>
    </row>
    <row r="446" spans="1:4">
      <c r="A446" s="1" t="s">
        <v>551</v>
      </c>
      <c r="B446" s="1" t="s">
        <v>315</v>
      </c>
      <c r="C446" s="1" t="s">
        <v>5</v>
      </c>
      <c r="D446" s="1" t="s">
        <v>47</v>
      </c>
    </row>
    <row r="447" spans="1:4">
      <c r="A447" s="1" t="s">
        <v>552</v>
      </c>
      <c r="B447" s="1" t="s">
        <v>315</v>
      </c>
      <c r="C447" s="1" t="s">
        <v>25</v>
      </c>
      <c r="D447" s="1" t="s">
        <v>21</v>
      </c>
    </row>
    <row r="448" spans="1:4">
      <c r="A448" s="1" t="s">
        <v>553</v>
      </c>
      <c r="B448" s="1" t="s">
        <v>315</v>
      </c>
      <c r="C448" s="1" t="s">
        <v>13</v>
      </c>
      <c r="D448" s="1" t="s">
        <v>15</v>
      </c>
    </row>
    <row r="449" spans="1:4">
      <c r="A449" s="1" t="s">
        <v>267</v>
      </c>
      <c r="B449" s="1" t="s">
        <v>315</v>
      </c>
      <c r="C449" s="1" t="s">
        <v>37</v>
      </c>
      <c r="D449" s="1" t="s">
        <v>21</v>
      </c>
    </row>
    <row r="450" spans="1:4">
      <c r="A450" s="1" t="s">
        <v>554</v>
      </c>
      <c r="B450" s="1" t="s">
        <v>315</v>
      </c>
      <c r="C450" s="1" t="s">
        <v>25</v>
      </c>
      <c r="D450" s="1" t="s">
        <v>459</v>
      </c>
    </row>
    <row r="451" spans="1:4">
      <c r="A451" s="1" t="s">
        <v>285</v>
      </c>
      <c r="B451" s="1" t="s">
        <v>315</v>
      </c>
      <c r="C451" s="1" t="s">
        <v>25</v>
      </c>
      <c r="D451" s="1" t="s">
        <v>21</v>
      </c>
    </row>
    <row r="452" spans="1:4">
      <c r="A452" s="1" t="s">
        <v>555</v>
      </c>
      <c r="B452" s="1" t="s">
        <v>315</v>
      </c>
      <c r="C452" s="1" t="s">
        <v>25</v>
      </c>
      <c r="D452" s="1" t="s">
        <v>417</v>
      </c>
    </row>
    <row r="453" spans="1:4">
      <c r="A453" s="1" t="s">
        <v>261</v>
      </c>
      <c r="B453" s="1" t="s">
        <v>315</v>
      </c>
      <c r="C453" s="1" t="s">
        <v>25</v>
      </c>
      <c r="D453" s="1" t="s">
        <v>21</v>
      </c>
    </row>
    <row r="454" spans="1:4">
      <c r="A454" s="1" t="s">
        <v>556</v>
      </c>
      <c r="B454" s="1" t="s">
        <v>315</v>
      </c>
      <c r="C454" s="1" t="s">
        <v>310</v>
      </c>
      <c r="D454" s="1" t="s">
        <v>58</v>
      </c>
    </row>
    <row r="455" spans="1:4">
      <c r="A455" s="68" t="s">
        <v>556</v>
      </c>
      <c r="B455" s="68" t="s">
        <v>315</v>
      </c>
      <c r="C455" s="68" t="s">
        <v>310</v>
      </c>
      <c r="D455" s="68" t="s">
        <v>58</v>
      </c>
    </row>
    <row r="456" spans="1:4">
      <c r="A456" s="68" t="s">
        <v>732</v>
      </c>
      <c r="B456" s="68" t="s">
        <v>294</v>
      </c>
      <c r="C456" s="68" t="s">
        <v>118</v>
      </c>
      <c r="D456" s="68" t="s">
        <v>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58310A-AD8D-4EDE-9020-ECDA26DB04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Mail Summ</vt:lpstr>
      <vt:lpstr>Mail Summ2</vt:lpstr>
      <vt:lpstr>Mar Day Summ</vt:lpstr>
      <vt:lpstr>Mar Mon Summ</vt:lpstr>
      <vt:lpstr>Soruce file </vt:lpstr>
      <vt:lpstr>Vehicles List 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dc:creator>
  <cp:lastModifiedBy>SHYAM</cp:lastModifiedBy>
  <dcterms:created xsi:type="dcterms:W3CDTF">2015-06-05T18:17:20Z</dcterms:created>
  <dcterms:modified xsi:type="dcterms:W3CDTF">2026-03-18T13:08:03Z</dcterms:modified>
</cp:coreProperties>
</file>